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yenda" state="visible" r:id="rId4"/>
    <sheet sheetId="2" name="Casos de Prueba" state="visible" r:id="rId5"/>
    <sheet sheetId="3" name="Ejecución" state="visible" r:id="rId6"/>
    <sheet sheetId="4" name="Defectos" state="visible" r:id="rId7"/>
    <sheet sheetId="5" name="Resumen" state="visible" r:id="rId8"/>
  </sheets>
  <calcPr calcId="171027" fullCalcOnLoad="1"/>
</workbook>
</file>

<file path=xl/sharedStrings.xml><?xml version="1.0" encoding="utf-8"?>
<sst xmlns="http://schemas.openxmlformats.org/spreadsheetml/2006/main" count="1267" uniqueCount="507">
  <si>
    <t>Gestión de pruebas – HU-004 Registro de mermas justificadas</t>
  </si>
  <si>
    <t>Sistema web de control de inventario – Representaciones Martín S.A.C. · Sprint 1 · PC 9 y PC 10</t>
  </si>
  <si>
    <t>Hoja</t>
  </si>
  <si>
    <t>Contenido</t>
  </si>
  <si>
    <t>Casos de Prueba</t>
  </si>
  <si>
    <t>PC 9: catálogo de casos con prioridad, datos de prueba, pasos, resultado esperado y criterio de aceptación de HU-004.</t>
  </si>
  <si>
    <t>Ejecución</t>
  </si>
  <si>
    <t>PC 10: cada ejecución real (ciclo 1 y ciclo 2) con fecha, herramienta, resultado obtenido, estado, defecto asociado y ruta de la evidencia en el repositorio.</t>
  </si>
  <si>
    <t>Defectos</t>
  </si>
  <si>
    <t>PC 10: defectos detectados, con severidad, prioridad, caso que los detectó, corrección (commit) y estado.</t>
  </si>
  <si>
    <t>Resumen</t>
  </si>
  <si>
    <t>Indicadores calculados con fórmulas a partir de las otras hojas (se actualizan solos al editar).</t>
  </si>
  <si>
    <t/>
  </si>
  <si>
    <t>Celdas amarillas</t>
  </si>
  <si>
    <t>Campos editables por el equipo: Responsable (propuesto) en Ejecución y Responsable en Defectos. El resto proviene de las evidencias reales y no debe modificarse.</t>
  </si>
  <si>
    <t>Prioridad</t>
  </si>
  <si>
    <t>Alta = bloquea el criterio de aceptación o la seguridad · Media = afecta una regla de negocio secundaria · Baja = estética o de bajo impacto.</t>
  </si>
  <si>
    <t>Severidad (defectos)</t>
  </si>
  <si>
    <t>Alta = pérdida de datos, seguridad o funcionalidad principal · Media = regla de negocio incorrecta con alternativa · Baja = impacto menor.</t>
  </si>
  <si>
    <t>Estado (ejecución)</t>
  </si>
  <si>
    <t>Aprobado · Fallido · Bloqueado.</t>
  </si>
  <si>
    <t>Estado (defectos)</t>
  </si>
  <si>
    <t>Abierto · Corregido · Cerrado (corregido y verificado) · Diferido (fuera del alcance del Sprint 1).</t>
  </si>
  <si>
    <t>Ciclo</t>
  </si>
  <si>
    <t>Ciclo 1 = primera ejecución · Ciclo 2 = re-ejecución tras corregir los defectos (regresión) · Ciclo 3 = verificación de DEF-10 tras habilitar TCP/IP (25/10/2026).</t>
  </si>
  <si>
    <t>Criterios de aceptación</t>
  </si>
  <si>
    <t>CA-1 y CA-2 provienen de la HU-004 del informe. CA-3, CA-4 y CA-5 se añadieron en el refinamiento del Sprint 1.</t>
  </si>
  <si>
    <t>CA-1</t>
  </si>
  <si>
    <t>Motivo y justificación técnica obligatorios antes de descontar el stock</t>
  </si>
  <si>
    <t>CA-2</t>
  </si>
  <si>
    <t>La bitácora registra fecha, hora, cantidad, motivo y usuario responsable</t>
  </si>
  <si>
    <t>CA-3</t>
  </si>
  <si>
    <t>No se permite dejar stock negativo ni ajustar productos dados de baja</t>
  </si>
  <si>
    <t>CA-4</t>
  </si>
  <si>
    <t>Solo Administrador y Encargado de Almacén registran ajustes; Gerencia solo consulta</t>
  </si>
  <si>
    <t>CA-5</t>
  </si>
  <si>
    <t>Cada ajuste queda trazado con folio único, movimiento y asiento de Kardex</t>
  </si>
  <si>
    <t>Cómo reproducir</t>
  </si>
  <si>
    <t>npm run db:pruebas:reset → npm run server:pruebas → npm run dev → npm test · npm run test:api · npm run test:e2e (ver README del repositorio).</t>
  </si>
  <si>
    <t>Herramientas</t>
  </si>
  <si>
    <t>Vitest 3 (unitarias, cobertura v8), Selenium WebDriver 4.51.0 + MicrosoftEdge 156.0.4314.42 (funcionales), Node.js fetch (API), SQL Server 2025 local.</t>
  </si>
  <si>
    <t>Generado</t>
  </si>
  <si>
    <t>Desde las evidencias en pruebas/evidencias/ el 2026-10-24 19:33 (hora de Lima).</t>
  </si>
  <si>
    <t>PC 9 – Casos de prueba de la HU-004 (y regresión de modelos)</t>
  </si>
  <si>
    <t>Fuente: tests/e2e, tests/api y tests/unit del repositorio. Prioridad según la leyenda.</t>
  </si>
  <si>
    <t>ID</t>
  </si>
  <si>
    <t>ID en el script</t>
  </si>
  <si>
    <t>Título</t>
  </si>
  <si>
    <t>Tipo</t>
  </si>
  <si>
    <t>Técnica de diseño</t>
  </si>
  <si>
    <t>Criterio de aceptación</t>
  </si>
  <si>
    <t>Precondiciones</t>
  </si>
  <si>
    <t>Datos de prueba</t>
  </si>
  <si>
    <t>Pasos</t>
  </si>
  <si>
    <t>Resultado esperado</t>
  </si>
  <si>
    <t>Automatización</t>
  </si>
  <si>
    <t>CP-HU4-01</t>
  </si>
  <si>
    <t>CPF-01</t>
  </si>
  <si>
    <t>Registrar una merma justificada (flujo principal)</t>
  </si>
  <si>
    <t>Funcional E2E</t>
  </si>
  <si>
    <t>Flujo principal (caso de uso)</t>
  </si>
  <si>
    <t>Alta</t>
  </si>
  <si>
    <t>CA-1, CA-5</t>
  </si>
  <si>
    <t>Ambiente de pruebas: npm run db:pruebas:reset, npm run server:pruebas y npm run dev. Usuario almacen@rep-martin.com con la contraseña de prueba.</t>
  </si>
  <si>
    <t>Producto MEL-VES-ROB-18; tipo MERMA_DANO; cantidad 2; motivo predefinido; justificación "Prueba automatizada: esquina desportillada por montacargas en el rack A-P01-R01"</t>
  </si>
  <si>
    <t>1. Iniciar sesión. 2. Abrir "Ajustes y Mermas". 3. Pulsar "Registrar Ajuste o Merma". 4. Completar el formulario. 5. Pulsar "Asentar Ajuste en Inventario".</t>
  </si>
  <si>
    <t>Mensaje "Ajuste AJU-AAAA-NNNNN registrado. Stock: N → N-2" y nueva fila en el historial con el folio y el SKU.</t>
  </si>
  <si>
    <t>Selenium: tests/e2e/ajustes.e2e.js</t>
  </si>
  <si>
    <t>CP-HU4-02</t>
  </si>
  <si>
    <t>CPF-02</t>
  </si>
  <si>
    <t>Rechazar una justificación técnica demasiado corta</t>
  </si>
  <si>
    <t>Partición de equivalencia (inválida)</t>
  </si>
  <si>
    <t>Justificación "roto" (4 caracteres)</t>
  </si>
  <si>
    <t>1. Abrir el formulario. 2. Escribir la justificación corta. 3. Pulsar "Asentar".</t>
  </si>
  <si>
    <t>Mensaje "La justificación técnica debe tener al menos 10 caracteres." y ningún ajuste nuevo.</t>
  </si>
  <si>
    <t>CP-HU4-03</t>
  </si>
  <si>
    <t>CPF-03</t>
  </si>
  <si>
    <t>Impedir descontar más que el stock disponible</t>
  </si>
  <si>
    <t>Valor límite</t>
  </si>
  <si>
    <t>Producto HER-BIS-CAN-35 (stock 1); cantidad 2</t>
  </si>
  <si>
    <t>1. Abrir el formulario. 2. Elegir el producto y cantidad 2. 3. Pulsar "Asentar".</t>
  </si>
  <si>
    <t>Mensaje "No se puede descontar más del stock actual (1 unid.)." sin registrar el ajuste.</t>
  </si>
  <si>
    <t>CP-HU4-04</t>
  </si>
  <si>
    <t>API-01</t>
  </si>
  <si>
    <t>Merma válida registrada por Encargado de Almacén</t>
  </si>
  <si>
    <t>API</t>
  </si>
  <si>
    <t>Partición de equivalencia (válida)</t>
  </si>
  <si>
    <t>npm run db:pruebas:reset y npm run server:pruebas.</t>
  </si>
  <si>
    <t>POST /api/ajustes {productoId MEL-VES-ROB-18, MERMA_DANO, 2, motivo, justificación}</t>
  </si>
  <si>
    <t>Enviar la petición con el token de almacen@rep-martin.com y consultar el stock.</t>
  </si>
  <si>
    <t>HTTP 201 y stock disminuye en 2.</t>
  </si>
  <si>
    <t>npm run test:api</t>
  </si>
  <si>
    <t>CP-HU4-05</t>
  </si>
  <si>
    <t>API-02</t>
  </si>
  <si>
    <t>Dos mermas seguidas del mismo producto generan folios distintos</t>
  </si>
  <si>
    <t>Prueba de regresión (DEF-01)</t>
  </si>
  <si>
    <t>Media</t>
  </si>
  <si>
    <t>Misma petición de CP-HU4-04 enviada dos veces en el mismo minuto</t>
  </si>
  <si>
    <t>Enviar dos peticiones consecutivas.</t>
  </si>
  <si>
    <t>Ambas HTTP 201 con folios AJU distintos.</t>
  </si>
  <si>
    <t>CP-HU4-06</t>
  </si>
  <si>
    <t>API-03</t>
  </si>
  <si>
    <t>Justificación técnica vacía</t>
  </si>
  <si>
    <t>detalle = "   "</t>
  </si>
  <si>
    <t>Enviar la petición.</t>
  </si>
  <si>
    <t>HTTP 400 "La justificación técnica es obligatoria."</t>
  </si>
  <si>
    <t>CP-HU4-07</t>
  </si>
  <si>
    <t>API-04</t>
  </si>
  <si>
    <t>Justificación de menos de 10 caracteres</t>
  </si>
  <si>
    <t>detalle = "roto"</t>
  </si>
  <si>
    <t>HTTP 400 "...al menos 10 caracteres."</t>
  </si>
  <si>
    <t>CP-HU4-08</t>
  </si>
  <si>
    <t>API-05</t>
  </si>
  <si>
    <t>Cantidad 0</t>
  </si>
  <si>
    <t>cantidad = 0</t>
  </si>
  <si>
    <t>HTTP 400 "La cantidad del ajuste debe ser un número entero mayor a 0."</t>
  </si>
  <si>
    <t>CP-HU4-09</t>
  </si>
  <si>
    <t>API-06</t>
  </si>
  <si>
    <t>Descontar más que el stock disponible</t>
  </si>
  <si>
    <t>HTTP 400 "No se puede descontar más del stock actual (1 unid.)."</t>
  </si>
  <si>
    <t>CP-HU4-10</t>
  </si>
  <si>
    <t>API-07</t>
  </si>
  <si>
    <t>Ajuste sobre un producto dado de baja</t>
  </si>
  <si>
    <t>Producto HER-PEG-EXT-01 (Activo = 0)</t>
  </si>
  <si>
    <t>HTTP 400 "El producto especificado no existe o está inactivo."</t>
  </si>
  <si>
    <t>CP-HU4-11</t>
  </si>
  <si>
    <t>API-08</t>
  </si>
  <si>
    <t>Rol Gerencia intenta registrar un ajuste</t>
  </si>
  <si>
    <t>Control de acceso (RBAC)</t>
  </si>
  <si>
    <t>Token de gerencia@rep-martin.com</t>
  </si>
  <si>
    <t>HTTP 403 "No tiene permisos para esta acción."</t>
  </si>
  <si>
    <t>CP-HU4-12</t>
  </si>
  <si>
    <t>API-09</t>
  </si>
  <si>
    <t>Petición sin sesión</t>
  </si>
  <si>
    <t>Control de acceso</t>
  </si>
  <si>
    <t>Sin cabecera Authorization</t>
  </si>
  <si>
    <t>HTTP 401 "Sesión no iniciada."</t>
  </si>
  <si>
    <t>CP-HU4-13</t>
  </si>
  <si>
    <t>API-10</t>
  </si>
  <si>
    <t>Sobrante incrementa el stock</t>
  </si>
  <si>
    <t>tipo SOBRANTE; cantidad 5</t>
  </si>
  <si>
    <t>Enviar la petición y consultar el stock.</t>
  </si>
  <si>
    <t>HTTP 201 y stock aumenta en 5.</t>
  </si>
  <si>
    <t>CP-HU4-14</t>
  </si>
  <si>
    <t>API-11</t>
  </si>
  <si>
    <t>Gerencia consulta el historial de ajustes</t>
  </si>
  <si>
    <t>Control de acceso (lectura)</t>
  </si>
  <si>
    <t>CA-4, CA-5</t>
  </si>
  <si>
    <t>GET /api/ajustes con token de gerencia</t>
  </si>
  <si>
    <t>Consultar el historial.</t>
  </si>
  <si>
    <t>HTTP 200 e incluye los folios registrados.</t>
  </si>
  <si>
    <t>CP-HU4-15</t>
  </si>
  <si>
    <t>API-12</t>
  </si>
  <si>
    <t>Cada ajuste genera su asiento de Kardex</t>
  </si>
  <si>
    <t>Integración</t>
  </si>
  <si>
    <t>Folios registrados en CP-HU4-04, 05 y 13</t>
  </si>
  <si>
    <t>Consultar GET /api/kardex.</t>
  </si>
  <si>
    <t>Un asiento por folio AJU.</t>
  </si>
  <si>
    <t>CP-HU4-16</t>
  </si>
  <si>
    <t>API-13</t>
  </si>
  <si>
    <t>La bitácora registra fecha, hora, cantidad, motivo y usuario</t>
  </si>
  <si>
    <t>Integración (consulta a BD)</t>
  </si>
  <si>
    <t>Folios registrados en la ejecución</t>
  </si>
  <si>
    <t>Consultar BitacoraAuditoria en la base de pruebas.</t>
  </si>
  <si>
    <t>La descripción incluye cantidad, motivo y SKU real; registra fecha/hora y usuario.</t>
  </si>
  <si>
    <t>CP-UT-01</t>
  </si>
  <si>
    <t>adjustmentRules.test.js</t>
  </si>
  <si>
    <t>Validación del servidor para ajustes (validateAdjustmentInput)</t>
  </si>
  <si>
    <t>Unitaria</t>
  </si>
  <si>
    <t>Partición de equivalencia y valores límite</t>
  </si>
  <si>
    <t>CA-1, CA-3, CA-4</t>
  </si>
  <si>
    <t>npm install. No requiere base de datos ni navegador.</t>
  </si>
  <si>
    <t>Tipos válidos/inválidos, cantidades 0, -1, 2.5, 100000, 100001, textos vacíos, justificación de 9/10/500/501 caracteres</t>
  </si>
  <si>
    <t>npm test</t>
  </si>
  <si>
    <t>Todas las pruebas del archivo pasan.</t>
  </si>
  <si>
    <t>Vitest</t>
  </si>
  <si>
    <t>CP-UT-02</t>
  </si>
  <si>
    <t>AdjustmentModel.test.js</t>
  </si>
  <si>
    <t>Validación previa en el navegador (AdjustmentModel)</t>
  </si>
  <si>
    <t>Valores límite</t>
  </si>
  <si>
    <t>CA-1, CA-3</t>
  </si>
  <si>
    <t>Descontar todo el stock, más del stock, sobrantes con stock 0</t>
  </si>
  <si>
    <t>CP-UT-03</t>
  </si>
  <si>
    <t>MovementModel.test.js</t>
  </si>
  <si>
    <t>Movimientos y asientos de Kardex</t>
  </si>
  <si>
    <t>Casos de borde</t>
  </si>
  <si>
    <t>Cantidad decimal 2.5, tipo desconocido TRASLADO, salidas mayores al stock</t>
  </si>
  <si>
    <t>CP-UT-04</t>
  </si>
  <si>
    <t>ProductModel.test.js</t>
  </si>
  <si>
    <t>Validación del catálogo de productos</t>
  </si>
  <si>
    <t>— (HU-002)</t>
  </si>
  <si>
    <t>Precio "abc", stock mínimo "diez", stock máximo vacío, precio igual al costo</t>
  </si>
  <si>
    <t>CP-UT-05</t>
  </si>
  <si>
    <t>OrderModel.test.js</t>
  </si>
  <si>
    <t>Totales de órdenes de compra</t>
  </si>
  <si>
    <t>Baja</t>
  </si>
  <si>
    <t>— (RF-13)</t>
  </si>
  <si>
    <t>3 × S/ 0.10 (error de coma flotante)</t>
  </si>
  <si>
    <t>CP-UT-06</t>
  </si>
  <si>
    <t>seguridad.test.js</t>
  </si>
  <si>
    <t>Contraseñas bcrypt, tokens y folios aleatorios</t>
  </si>
  <si>
    <t>Propiedades de seguridad</t>
  </si>
  <si>
    <t>— (RF-01, RF-02)</t>
  </si>
  <si>
    <t>200 contraseñas temporales, 20 000 dígitos aleatorios</t>
  </si>
  <si>
    <t>PC 10 – Registro de ejecución de los casos</t>
  </si>
  <si>
    <t>Cada fila corresponde a una ejecución real; la evidencia es la ruta del archivo en el repositorio. Fechas en hora de Lima.</t>
  </si>
  <si>
    <t>ID ejecución</t>
  </si>
  <si>
    <t>ID caso</t>
  </si>
  <si>
    <t>Fecha y hora</t>
  </si>
  <si>
    <t>Herramienta</t>
  </si>
  <si>
    <t>Responsable (propuesto)</t>
  </si>
  <si>
    <t>Ambiente</t>
  </si>
  <si>
    <t>Resultado obtenido</t>
  </si>
  <si>
    <t>Estado</t>
  </si>
  <si>
    <t>Defecto asociado</t>
  </si>
  <si>
    <t>Evidencia</t>
  </si>
  <si>
    <t>EJ-001</t>
  </si>
  <si>
    <t>2026-10-23 23:57</t>
  </si>
  <si>
    <t>Vitest 3</t>
  </si>
  <si>
    <t>Alvaro Mendoza (QA)</t>
  </si>
  <si>
    <t>Local: RepresentacionesMartinDB_Pruebas + Edge</t>
  </si>
  <si>
    <t>45/45 pruebas correctas</t>
  </si>
  <si>
    <t>Aprobado</t>
  </si>
  <si>
    <t>pruebas/evidencias/pc07/vitest-ejecucion-1.json</t>
  </si>
  <si>
    <t>EJ-002</t>
  </si>
  <si>
    <t>15/15 pruebas correctas</t>
  </si>
  <si>
    <t>EJ-003</t>
  </si>
  <si>
    <t>13/15 pruebas correctas. Fallan: rechaza una cantidad decimal; rechaza un tipo de movimiento desconocido</t>
  </si>
  <si>
    <t>Fallido</t>
  </si>
  <si>
    <t>DEF-05, DEF-06</t>
  </si>
  <si>
    <t>EJ-004</t>
  </si>
  <si>
    <t>15/19 pruebas correctas. Fallan: rechaza precioVenta no numérico (abc); rechaza costoCompra no numérico (abc); rechaza stockMinimo no numérico (diez); rechaza stockMaximo no numérico (undefined)</t>
  </si>
  <si>
    <t>DEF-04</t>
  </si>
  <si>
    <t>EJ-005</t>
  </si>
  <si>
    <t>3/4 pruebas correctas. Fallan: redondea el subtotal a céntimos</t>
  </si>
  <si>
    <t>DEF-07</t>
  </si>
  <si>
    <t>EJ-006</t>
  </si>
  <si>
    <t>8/8 pruebas correctas</t>
  </si>
  <si>
    <t>EJ-007</t>
  </si>
  <si>
    <t>2026-10-23 23:58</t>
  </si>
  <si>
    <t>Vitest 3 + cobertura v8</t>
  </si>
  <si>
    <t>pruebas/evidencias/pc07/vitest-ejecucion-2-cobertura.txt</t>
  </si>
  <si>
    <t>EJ-008</t>
  </si>
  <si>
    <t>EJ-009</t>
  </si>
  <si>
    <t>EJ-010</t>
  </si>
  <si>
    <t>19/19 pruebas correctas</t>
  </si>
  <si>
    <t>EJ-011</t>
  </si>
  <si>
    <t>4/4 pruebas correctas</t>
  </si>
  <si>
    <t>EJ-012</t>
  </si>
  <si>
    <t>EJ-013</t>
  </si>
  <si>
    <t>2026-10-24 00:01</t>
  </si>
  <si>
    <t>Selenium WebDriver 4.51.0 + MicrosoftEdge 156.0.4314.42</t>
  </si>
  <si>
    <t>AJU-2026-00002 registrado; stock 95 → 93; historial 1 → 2 filas Observación: la captura muestra la fecha con -5 h (DEF-08).</t>
  </si>
  <si>
    <t>DEF-08</t>
  </si>
  <si>
    <t xml:space="preserve">pruebas/evidencias/pc08/2026-10-24T05-00-53/01-login.png
pruebas/evidencias/pc08/2026-10-24T05-00-53/02-modulo-ajustes.png
pruebas/evidencias/pc08/2026-10-24T05-00-53/03-formulario-merma.png
pruebas/evidencias/pc08/2026-10-24T05-00-53/04-merma-registrada.png</t>
  </si>
  <si>
    <t>EJ-014</t>
  </si>
  <si>
    <t>Mensaje mostrado: "La justificación técnica debe tener al menos 10 caracteres."</t>
  </si>
  <si>
    <t>pruebas/evidencias/pc08/2026-10-24T05-00-53/05-error-justificacion-corta.png</t>
  </si>
  <si>
    <t>EJ-015</t>
  </si>
  <si>
    <t>Stock 1, solicitado 2: "No se puede descontar más del stock actual (1 unid.)."</t>
  </si>
  <si>
    <t>pruebas/evidencias/pc08/2026-10-24T05-00-53/06-error-stock-insuficiente.png</t>
  </si>
  <si>
    <t>EJ-016</t>
  </si>
  <si>
    <t>2026-10-24 00:02</t>
  </si>
  <si>
    <t>AJU-2026-00002 registrado; stock 95 → 93; historial 1 → 2 filas</t>
  </si>
  <si>
    <t xml:space="preserve">pruebas/evidencias/pc08/2026-10-24T05-02-31/01-login.png
pruebas/evidencias/pc08/2026-10-24T05-02-31/02-modulo-ajustes.png
pruebas/evidencias/pc08/2026-10-24T05-02-31/03-formulario-merma.png
pruebas/evidencias/pc08/2026-10-24T05-02-31/04-merma-registrada.png</t>
  </si>
  <si>
    <t>EJ-017</t>
  </si>
  <si>
    <t>pruebas/evidencias/pc08/2026-10-24T05-02-31/05-error-justificacion-corta.png</t>
  </si>
  <si>
    <t>EJ-018</t>
  </si>
  <si>
    <t>pruebas/evidencias/pc08/2026-10-24T05-02-31/06-error-stock-insuficiente.png</t>
  </si>
  <si>
    <t>EJ-019</t>
  </si>
  <si>
    <t>2026-10-24 00:08</t>
  </si>
  <si>
    <t>AJU-2026-00005 registrado; stock 96 → 94; historial 4 → 5 filas</t>
  </si>
  <si>
    <t xml:space="preserve">pruebas/evidencias/pc08/2026-10-24T05-08-29/01-login.png
pruebas/evidencias/pc08/2026-10-24T05-08-29/02-modulo-ajustes.png
pruebas/evidencias/pc08/2026-10-24T05-08-29/03-formulario-merma.png
pruebas/evidencias/pc08/2026-10-24T05-08-29/04-merma-registrada.png</t>
  </si>
  <si>
    <t>EJ-020</t>
  </si>
  <si>
    <t>pruebas/evidencias/pc08/2026-10-24T05-08-29/05-error-justificacion-corta.png</t>
  </si>
  <si>
    <t>EJ-021</t>
  </si>
  <si>
    <t>pruebas/evidencias/pc08/2026-10-24T05-08-29/06-error-stock-insuficiente.png</t>
  </si>
  <si>
    <t>EJ-022</t>
  </si>
  <si>
    <t>2026-10-24 19:32</t>
  </si>
  <si>
    <t>AJU-2026-00005 registrado; stock 96 → 94; historial 4 → 5 filas Verificación de DEF-10: puerto 1433 y pool de 10 conexiones.</t>
  </si>
  <si>
    <t>DEF-10</t>
  </si>
  <si>
    <t xml:space="preserve">pruebas/evidencias/pc08/2026-10-25T00-32-11/01-login.png
pruebas/evidencias/pc08/2026-10-25T00-32-11/02-modulo-ajustes.png
pruebas/evidencias/pc08/2026-10-25T00-32-11/03-formulario-merma.png
pruebas/evidencias/pc08/2026-10-25T00-32-11/04-merma-registrada.png</t>
  </si>
  <si>
    <t>EJ-023</t>
  </si>
  <si>
    <t>Mensaje mostrado: "La justificación técnica debe tener al menos 10 caracteres." Verificación de DEF-10: puerto 1433 y pool de 10 conexiones.</t>
  </si>
  <si>
    <t>pruebas/evidencias/pc08/2026-10-25T00-32-11/05-error-justificacion-corta.png</t>
  </si>
  <si>
    <t>EJ-024</t>
  </si>
  <si>
    <t>Stock 1, solicitado 2: "No se puede descontar más del stock actual (1 unid.)." Verificación de DEF-10: puerto 1433 y pool de 10 conexiones.</t>
  </si>
  <si>
    <t>pruebas/evidencias/pc08/2026-10-25T00-32-11/06-error-stock-insuficiente.png</t>
  </si>
  <si>
    <t>EJ-025</t>
  </si>
  <si>
    <t>2026-10-24 00:06</t>
  </si>
  <si>
    <t>Node.js fetch (tests/api/ajustes.api.js)</t>
  </si>
  <si>
    <t>201; Ajuste AJU-2026-00002 registrado. Stock: 95 → 93.; stock 95 → 93</t>
  </si>
  <si>
    <t>pruebas/evidencias/pc10/api-2026-10-24T05-06-39.json</t>
  </si>
  <si>
    <t>EJ-026</t>
  </si>
  <si>
    <t>201; folios AJU-2026-00002 y AJU-2026-00003</t>
  </si>
  <si>
    <t>DEF-01</t>
  </si>
  <si>
    <t>EJ-027</t>
  </si>
  <si>
    <t>400; La justificación técnica es obligatoria.</t>
  </si>
  <si>
    <t>EJ-028</t>
  </si>
  <si>
    <t>400; La justificación técnica debe tener al menos 10 caracteres.</t>
  </si>
  <si>
    <t>EJ-029</t>
  </si>
  <si>
    <t>400; La cantidad del ajuste debe ser un número entero mayor a 0.</t>
  </si>
  <si>
    <t>EJ-030</t>
  </si>
  <si>
    <t>400; No se puede descontar más del stock actual (1 unid.).</t>
  </si>
  <si>
    <t>EJ-031</t>
  </si>
  <si>
    <t>400; El producto especificado no existe o está inactivo.</t>
  </si>
  <si>
    <t>EJ-032</t>
  </si>
  <si>
    <t>403; No tiene permisos para esta acción.</t>
  </si>
  <si>
    <t>EJ-033</t>
  </si>
  <si>
    <t>401; Sesión no iniciada.</t>
  </si>
  <si>
    <t>EJ-034</t>
  </si>
  <si>
    <t>201; stock 91 → 96</t>
  </si>
  <si>
    <t>EJ-035</t>
  </si>
  <si>
    <t>200; 4 ajustes; incluye AJU-2026-00002, AJU-2026-00003, AJU-2026-00004: true</t>
  </si>
  <si>
    <t>EJ-036</t>
  </si>
  <si>
    <t>3 asientos: AJU-2026-00002, AJU-2026-00003, AJU-2026-00004</t>
  </si>
  <si>
    <t>EJ-037</t>
  </si>
  <si>
    <t>0 registros; ej.: MOVIMIENTO_MERMA por Jorge Luis Paredes Soto el 2026-10-24T05:06:08.750Z — Producto: Tablero Melamina Vesto Roble Cendra 18mm (SKU: 1), Cantidad: 2, Stock Anterior: 95, Stock Nuevo: 93, Doc: AJU-2026-00002</t>
  </si>
  <si>
    <t>DEF-09</t>
  </si>
  <si>
    <t>EJ-038</t>
  </si>
  <si>
    <t>pruebas/evidencias/pc10/api-2026-10-24T05-08-27.json</t>
  </si>
  <si>
    <t>EJ-039</t>
  </si>
  <si>
    <t>EJ-040</t>
  </si>
  <si>
    <t>EJ-041</t>
  </si>
  <si>
    <t>EJ-042</t>
  </si>
  <si>
    <t>EJ-043</t>
  </si>
  <si>
    <t>EJ-044</t>
  </si>
  <si>
    <t>EJ-045</t>
  </si>
  <si>
    <t>EJ-046</t>
  </si>
  <si>
    <t>EJ-047</t>
  </si>
  <si>
    <t>EJ-048</t>
  </si>
  <si>
    <t>EJ-049</t>
  </si>
  <si>
    <t>EJ-050</t>
  </si>
  <si>
    <t>3 registros; ej.: MOVIMIENTO_MERMA por Jorge Luis Paredes Soto el 2026-10-24T05:07:51.781Z — Producto: Tablero Melamina Vesto Roble Cendra 18mm (SKU: MEL-VES-ROB-18), Cantidad: 2, Stock Anterior: 95, Stock Nuevo: 93, Doc: AJU-2026-00002 | [Ajuste] Tablero desportillado: Golpe de montacargas en la esquina durante la descarga</t>
  </si>
  <si>
    <t>EJ-051</t>
  </si>
  <si>
    <t>pruebas/evidencias/pc10/api-2026-10-25T00-32-07.json</t>
  </si>
  <si>
    <t>EJ-052</t>
  </si>
  <si>
    <t>EJ-053</t>
  </si>
  <si>
    <t>EJ-054</t>
  </si>
  <si>
    <t>EJ-055</t>
  </si>
  <si>
    <t>EJ-056</t>
  </si>
  <si>
    <t>EJ-057</t>
  </si>
  <si>
    <t>EJ-058</t>
  </si>
  <si>
    <t>EJ-059</t>
  </si>
  <si>
    <t>EJ-060</t>
  </si>
  <si>
    <t>EJ-061</t>
  </si>
  <si>
    <t>EJ-062</t>
  </si>
  <si>
    <t>EJ-063</t>
  </si>
  <si>
    <t>3 registros; ej.: MOVIMIENTO_MERMA por Jorge Luis Paredes Soto el 2026-10-25T00:32:06.780Z — Producto: Tablero Melamina Vesto Roble Cendra 18mm (SKU: MEL-VES-ROB-18), Cantidad: 2, Stock Anterior: 95, Stock Nuevo: 93, Doc: AJU-2026-00002 | [Ajuste] Tablero desportillado: Golpe de montacargas en la esquina durante la descarga</t>
  </si>
  <si>
    <t>PC 10 – Registro de defectos</t>
  </si>
  <si>
    <t>Defectos detectados durante el Sprint 1. "Diferido" = fuera del alcance de HU-004, asignado al Sprint 2.</t>
  </si>
  <si>
    <t>Descripción</t>
  </si>
  <si>
    <t>Pasos para reproducir</t>
  </si>
  <si>
    <t>Severidad</t>
  </si>
  <si>
    <t>Detectado por</t>
  </si>
  <si>
    <t>Caso relacionado</t>
  </si>
  <si>
    <t>Fecha detección</t>
  </si>
  <si>
    <t>Corrección</t>
  </si>
  <si>
    <t>Fecha corrección</t>
  </si>
  <si>
    <t>El folio del ajuste podía repetirse y violar la restricción UNIQUE</t>
  </si>
  <si>
    <t>sp_AjusteInventarioManual generaba el folio como AJU-fechaHoraMinuto-IdProducto; dos ajustes del mismo producto en el mismo minuto chocaban con la restricción UNIQUE de NumeroAjuste.</t>
  </si>
  <si>
    <t>Registrar dos mermas del mismo producto dentro del mismo minuto.</t>
  </si>
  <si>
    <t>Ambos ajustes se registran con folios distintos.</t>
  </si>
  <si>
    <t>El segundo ajuste fallaba con error de clave duplicada.</t>
  </si>
  <si>
    <t>Revisión estática del procedimiento (PC 5)</t>
  </si>
  <si>
    <t>2026-10-23</t>
  </si>
  <si>
    <t>Folio AJU-AAAA-NNNNN derivado del IdAjuste (commit 021c96a)</t>
  </si>
  <si>
    <t>Kevin Llacchua</t>
  </si>
  <si>
    <t>Cerrado</t>
  </si>
  <si>
    <t>DEF-02</t>
  </si>
  <si>
    <t>El ajuste no se guardaba en la base de datos</t>
  </si>
  <si>
    <t>El registro de la merma (folio, motivo, justificación, responsable) solo se guardaba en el navegador (localStorage); en SQL Server solo llegaba el movimiento de stock.</t>
  </si>
  <si>
    <t>Registrar una merma y consultar la tabla AjustesInventario.</t>
  </si>
  <si>
    <t>El ajuste queda guardado en AjustesInventario.</t>
  </si>
  <si>
    <t>La tabla no contenía el ajuste; el historial se perdía al cambiar de navegador.</t>
  </si>
  <si>
    <t>Análisis de la HU-004 (PC 5)</t>
  </si>
  <si>
    <t>CP-HU4-01, CP-HU4-14</t>
  </si>
  <si>
    <t>API POST /api/ajustes + sp_AjusteInventarioManual y pantalla conectada (commits 021c96a, f14c9c5)</t>
  </si>
  <si>
    <t>DEF-03</t>
  </si>
  <si>
    <t>La justificación técnica no era obligatoria fuera de la pantalla</t>
  </si>
  <si>
    <t>Solo el formulario exigía la justificación; el controlador y los datos aceptaban ajustes sin ella, incumpliendo HU-004 CA-1.</t>
  </si>
  <si>
    <t>Enviar un ajuste sin justificación sin pasar por el formulario.</t>
  </si>
  <si>
    <t>Se rechaza el ajuste.</t>
  </si>
  <si>
    <t>Se aceptaba el ajuste sin justificación.</t>
  </si>
  <si>
    <t>CP-HU4-02, CP-HU4-06, CP-HU4-07</t>
  </si>
  <si>
    <t>Validación en servidor (adjustmentRules.js), en el procedimiento y en AdjustmentModel (commits 021c96a, f14c9c5)</t>
  </si>
  <si>
    <t>ProductModel.validate aceptaba valores no numéricos</t>
  </si>
  <si>
    <t>Number("abc") es NaN y toda comparación con NaN es falsa, por lo que precio, costo y stocks no numéricos pasaban la validación.</t>
  </si>
  <si>
    <t>Validar un producto con precioVenta = "abc".</t>
  </si>
  <si>
    <t>Validación rechazada.</t>
  </si>
  <si>
    <t>isValid = true.</t>
  </si>
  <si>
    <t>Prueba unitaria CP-UT-04 (ciclo 1)</t>
  </si>
  <si>
    <t>Validación con Number.isFinite / Number.isInteger (commit ff54c55)</t>
  </si>
  <si>
    <t>DEF-05</t>
  </si>
  <si>
    <t>MovementModel aceptaba cantidades decimales</t>
  </si>
  <si>
    <t>El mensaje exige "número entero" pero se aceptaba 2.5 planchas.</t>
  </si>
  <si>
    <t>Validar una salida de 2.5 unidades.</t>
  </si>
  <si>
    <t>Prueba unitaria CP-UT-03 (ciclo 1)</t>
  </si>
  <si>
    <t>Number.isInteger (commit ff54c55)</t>
  </si>
  <si>
    <t>DEF-06</t>
  </si>
  <si>
    <t>MovementModel aceptaba tipos de movimiento desconocidos</t>
  </si>
  <si>
    <t>Un tipo como TRASLADO pasaba la validación y createMovementRecord restaba la cantidad del stock.</t>
  </si>
  <si>
    <t>Validar un movimiento de tipo TRASLADO con cantidad 50.</t>
  </si>
  <si>
    <t>isValid = true (y luego se descontaba el stock).</t>
  </si>
  <si>
    <t>Error "Tipo de movimiento no reconocido." (commit ff54c55)</t>
  </si>
  <si>
    <t>El subtotal de las órdenes de compra no se redondeaba</t>
  </si>
  <si>
    <t>Errores de coma flotante en importes (3 × 0.10 = 0.30000000000000004).</t>
  </si>
  <si>
    <t>Calcular los totales de 3 unidades a S/ 0.10.</t>
  </si>
  <si>
    <t>Subtotal 0.30.</t>
  </si>
  <si>
    <t>Subtotal 0.30000000000000004.</t>
  </si>
  <si>
    <t>Prueba unitaria CP-UT-05 (ciclo 1)</t>
  </si>
  <si>
    <t>Redondeo a céntimos (commit ff54c55)</t>
  </si>
  <si>
    <t>Las fechas se mostraban con 5 horas de desfase (SQL Server local)</t>
  </si>
  <si>
    <t>SYSDATETIME() guarda la hora local de Lima, pero el driver mssql la interpretaba como UTC y el navegador restaba 5 horas.</t>
  </si>
  <si>
    <t>Registrar un ajuste a las 00:01 del 24/10 y ver el historial.</t>
  </si>
  <si>
    <t>Fecha 24/10/2026 00:01.</t>
  </si>
  <si>
    <t>Fecha 23/10/2026 19:01 (ver evidencia de CPF-01, ciclo 1).</t>
  </si>
  <si>
    <t>Revisión de la evidencia de Selenium CP-HU4-01 (ciclo 1)</t>
  </si>
  <si>
    <t>2026-10-24</t>
  </si>
  <si>
    <t>Opción DB_USE_UTC=false para SQL Server local (commit afb2f9b)</t>
  </si>
  <si>
    <t>La bitácora no registraba el motivo ni el SKU real</t>
  </si>
  <si>
    <t>sp_RegistrarMovimiento escribía el IdProducto con la etiqueta "SKU" y no incluía el motivo del ajuste, incumpliendo HU-004 CA-2.</t>
  </si>
  <si>
    <t>Registrar un ajuste y consultar BitacoraAuditoria.</t>
  </si>
  <si>
    <t>Descripción con SKU real, cantidad y motivo.</t>
  </si>
  <si>
    <t>"(SKU: 1)" y sin motivo (ver api-2026-10-24T05-06-39.json).</t>
  </si>
  <si>
    <t>Prueba de API CP-HU4-16 (ciclo 1)</t>
  </si>
  <si>
    <t>Descripción con CodigoSKU y observación (commit b4e05f0)</t>
  </si>
  <si>
    <t>Ambiente local: SQL Server sin TCP/IP, solo acepta 1 conexión</t>
  </si>
  <si>
    <t>El proyecto se conectaba al puerto 1434, que es la conexión de administrador dedicada (DAC): admite una sola conexión y solo a usuarios sysadmin. Con la web abierta, las conexiones simultáneas se cortaban (ECONNRESET).</t>
  </si>
  <si>
    <t>Abrir la web con la API local y navegar (varias peticiones simultáneas).</t>
  </si>
  <si>
    <t>Todas las peticiones responden.</t>
  </si>
  <si>
    <t>Error 500 y "Connection lost - read ECONNRESET".</t>
  </si>
  <si>
    <t>Verificación manual de la PC 6</t>
  </si>
  <si>
    <t>CP-HU4-01 a CP-HU4-16 (ciclo 3)</t>
  </si>
  <si>
    <t>TCP/IP habilitado en MSSQLSERVER (puerto 1433); configuración y plantillas con DB_PORT=1433 y sin DB_POOL_MAX (commit ac88fe7). Recomendado además: usuario de BD local sin rol sysadmin.</t>
  </si>
  <si>
    <t>2026-10-25</t>
  </si>
  <si>
    <t>DEF-11</t>
  </si>
  <si>
    <t>El Kardex no calcula el costo promedio ponderado</t>
  </si>
  <si>
    <t>sp_RegistrarMovimiento y el frontend guardan como "costo promedio" el costo del último movimiento, no el promedio ponderado que exige HU-005.</t>
  </si>
  <si>
    <t>Registrar dos entradas con costos distintos y revisar el Kardex.</t>
  </si>
  <si>
    <t>Costo promedio ponderado de las existencias.</t>
  </si>
  <si>
    <t>Costo unitario del último movimiento.</t>
  </si>
  <si>
    <t>Revisión de código durante PC 5</t>
  </si>
  <si>
    <t>— (HU-005, Sprint 2)</t>
  </si>
  <si>
    <t>Diferido al Sprint 2 (HU-005).</t>
  </si>
  <si>
    <t>Diferido</t>
  </si>
  <si>
    <t>DEF-12</t>
  </si>
  <si>
    <t>HU-005 sin filtro por fechas ni exportación a Excel/PDF</t>
  </si>
  <si>
    <t>La vista de Kardex exporta CSV e imprime, pero no filtra por rango de fechas ni exporta Excel/PDF como pide HU-005.</t>
  </si>
  <si>
    <t>Abrir Kardex y buscar el filtro de fechas.</t>
  </si>
  <si>
    <t>Filtro por rango y exportación Excel/PDF.</t>
  </si>
  <si>
    <t>No existe el filtro; solo CSV e impresión.</t>
  </si>
  <si>
    <t>Revisión de HU vs. aplicación</t>
  </si>
  <si>
    <t>DEF-13</t>
  </si>
  <si>
    <t>HU-003 no impide asignar mercadería a un rack con sobrepeso</t>
  </si>
  <si>
    <t>La vista de racks marca el sobrepeso en pantalla, pero no bloquea la asignación como exige HU-003.</t>
  </si>
  <si>
    <t>Asignar a un rack un lote que supere su capacidad en kg.</t>
  </si>
  <si>
    <t>Asignación denegada con alerta.</t>
  </si>
  <si>
    <t>Solo se resalta; no hay bloqueo.</t>
  </si>
  <si>
    <t>— (HU-003, Sprint 2)</t>
  </si>
  <si>
    <t>Diferido al Sprint 2 (HU-003).</t>
  </si>
  <si>
    <t>DEF-14</t>
  </si>
  <si>
    <t>HU-002: crear, editar y dar de baja productos no se guarda en la base</t>
  </si>
  <si>
    <t>Las operaciones del catálogo se guardan solo en el navegador; la API solo expone la consulta de productos.</t>
  </si>
  <si>
    <t>Crear un producto y consultar la tabla Productos.</t>
  </si>
  <si>
    <t>El producto queda en SQL Server.</t>
  </si>
  <si>
    <t>Solo existe en el navegador.</t>
  </si>
  <si>
    <t>— (HU-002, Sprint 2)</t>
  </si>
  <si>
    <t>Diferido al Sprint 2 (HU-002).</t>
  </si>
  <si>
    <t>Resumen de calidad – Sprint 1 (HU-004)</t>
  </si>
  <si>
    <t>Fórmulas sobre las hojas Casos de Prueba, Ejecución y Defectos.</t>
  </si>
  <si>
    <t>Casos de prueba (PC 9)</t>
  </si>
  <si>
    <t>Total</t>
  </si>
  <si>
    <t>Casos diseñados</t>
  </si>
  <si>
    <t>Prioridad Alta</t>
  </si>
  <si>
    <t>Prioridad Media</t>
  </si>
  <si>
    <t>Prioridad Baja</t>
  </si>
  <si>
    <t>Tipo Funcional E2E</t>
  </si>
  <si>
    <t>Tipo API</t>
  </si>
  <si>
    <t>Tipo Unitaria</t>
  </si>
  <si>
    <t>Ejecución (PC 10)</t>
  </si>
  <si>
    <t>Ciclo 1</t>
  </si>
  <si>
    <t>Ciclo 2</t>
  </si>
  <si>
    <t>Ciclo 3</t>
  </si>
  <si>
    <t>Ejecuciones</t>
  </si>
  <si>
    <t>Aprobadas</t>
  </si>
  <si>
    <t>Fallidas</t>
  </si>
  <si>
    <t>Bloqueadas</t>
  </si>
  <si>
    <t>% de aprobación</t>
  </si>
  <si>
    <t>Ciclo 2 = regresión tras corregir defectos · Ciclo 3 = verificación de DEF-10</t>
  </si>
  <si>
    <t>Defectos (PC 10)</t>
  </si>
  <si>
    <t>Defectos registrados</t>
  </si>
  <si>
    <t>Severidad Alta</t>
  </si>
  <si>
    <t>Severidad Media</t>
  </si>
  <si>
    <t>Severidad Baja</t>
  </si>
  <si>
    <t>Estado Cerrado</t>
  </si>
  <si>
    <t>Estado Abierto</t>
  </si>
  <si>
    <t>Estado Diferido</t>
  </si>
  <si>
    <t>Cobertura de pruebas unitarias (PC 7)</t>
  </si>
  <si>
    <t>Obtenido</t>
  </si>
  <si>
    <t>Mínimo</t>
  </si>
  <si>
    <t>Cumple</t>
  </si>
  <si>
    <t>Cobertura de líneas (%)</t>
  </si>
  <si>
    <t>Fuente: pruebas/evidencias/pc07/vitest-ejecucion-2-cobertura.txt (umbral en vitest.config.js)</t>
  </si>
  <si>
    <t>Cobertura de ramas (%)</t>
  </si>
  <si>
    <t>Cobertura de funciones (%)</t>
  </si>
  <si>
    <t>Cobertura de sentencias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</si>
</sst>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color theme="1"/>
      <family val="2"/>
      <scheme val="minor"/>
      <sz val="11"/>
      <name val="Calibri"/>
    </font>
    <font>
      <b/>
      <color rgb="FF0F766E"/>
      <sz val="14"/>
      <name val="Arial"/>
    </font>
    <font>
      <i/>
      <color rgb="FF475569"/>
      <sz val="9"/>
      <name val="Arial"/>
    </font>
    <font>
      <b/>
      <color rgb="FFFFFFFF"/>
      <name val="Arial"/>
    </font>
    <font>
      <b/>
      <sz val="10"/>
      <name val="Arial"/>
    </font>
    <font>
      <sz val="10"/>
      <name val="Arial"/>
    </font>
    <font>
      <b/>
      <color rgb="FFFFFFFF"/>
      <sz val="10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FF2CC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4" fillId="3" borderId="0" xfId="0" applyFont="1" applyFill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6" fillId="2" borderId="1" xfId="0" applyFont="1" applyFill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0"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FormatPr defaultRowHeight="15" outlineLevelRow="0" outlineLevelCol="0" x14ac:dyDescent="55"/>
  <cols>
    <col min="1" max="1" width="26" customWidth="1"/>
    <col min="2" max="2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2" x14ac:dyDescent="0.25">
      <c r="A4" s="3" t="s">
        <v>2</v>
      </c>
      <c r="B4" s="4" t="s">
        <v>3</v>
      </c>
    </row>
    <row r="5" spans="1:2" x14ac:dyDescent="0.25">
      <c r="A5" s="5" t="s">
        <v>4</v>
      </c>
      <c r="B5" s="6" t="s">
        <v>5</v>
      </c>
    </row>
    <row r="6" spans="1:2" x14ac:dyDescent="0.25">
      <c r="A6" s="5" t="s">
        <v>6</v>
      </c>
      <c r="B6" s="6" t="s">
        <v>7</v>
      </c>
    </row>
    <row r="7" spans="1:2" x14ac:dyDescent="0.25">
      <c r="A7" s="5" t="s">
        <v>8</v>
      </c>
      <c r="B7" s="6" t="s">
        <v>9</v>
      </c>
    </row>
    <row r="8" spans="1:2" x14ac:dyDescent="0.25">
      <c r="A8" s="5" t="s">
        <v>10</v>
      </c>
      <c r="B8" s="6" t="s">
        <v>11</v>
      </c>
    </row>
    <row r="9" spans="1:2" x14ac:dyDescent="0.25">
      <c r="A9" s="5" t="s">
        <v>12</v>
      </c>
      <c r="B9" s="6" t="s">
        <v>12</v>
      </c>
    </row>
    <row r="10" spans="1:2" x14ac:dyDescent="0.25">
      <c r="A10" s="7" t="s">
        <v>13</v>
      </c>
      <c r="B10" s="6" t="s">
        <v>14</v>
      </c>
    </row>
    <row r="11" spans="1:2" x14ac:dyDescent="0.25">
      <c r="A11" s="5" t="s">
        <v>15</v>
      </c>
      <c r="B11" s="6" t="s">
        <v>16</v>
      </c>
    </row>
    <row r="12" spans="1:2" x14ac:dyDescent="0.25">
      <c r="A12" s="5" t="s">
        <v>17</v>
      </c>
      <c r="B12" s="6" t="s">
        <v>18</v>
      </c>
    </row>
    <row r="13" spans="1:2" x14ac:dyDescent="0.25">
      <c r="A13" s="5" t="s">
        <v>19</v>
      </c>
      <c r="B13" s="6" t="s">
        <v>20</v>
      </c>
    </row>
    <row r="14" spans="1:2" x14ac:dyDescent="0.25">
      <c r="A14" s="5" t="s">
        <v>21</v>
      </c>
      <c r="B14" s="6" t="s">
        <v>22</v>
      </c>
    </row>
    <row r="15" spans="1:2" x14ac:dyDescent="0.25">
      <c r="A15" s="5" t="s">
        <v>23</v>
      </c>
      <c r="B15" s="6" t="s">
        <v>24</v>
      </c>
    </row>
    <row r="16" spans="1:2" x14ac:dyDescent="0.25">
      <c r="A16" s="5" t="s">
        <v>12</v>
      </c>
      <c r="B16" s="6" t="s">
        <v>12</v>
      </c>
    </row>
    <row r="17" spans="1:2" x14ac:dyDescent="0.25">
      <c r="A17" s="5" t="s">
        <v>25</v>
      </c>
      <c r="B17" s="6" t="s">
        <v>26</v>
      </c>
    </row>
    <row r="18" spans="1:2" x14ac:dyDescent="0.25">
      <c r="A18" s="5" t="s">
        <v>27</v>
      </c>
      <c r="B18" s="6" t="s">
        <v>28</v>
      </c>
    </row>
    <row r="19" spans="1:2" x14ac:dyDescent="0.25">
      <c r="A19" s="5" t="s">
        <v>29</v>
      </c>
      <c r="B19" s="6" t="s">
        <v>30</v>
      </c>
    </row>
    <row r="20" spans="1:2" x14ac:dyDescent="0.25">
      <c r="A20" s="5" t="s">
        <v>31</v>
      </c>
      <c r="B20" s="6" t="s">
        <v>32</v>
      </c>
    </row>
    <row r="21" spans="1:2" x14ac:dyDescent="0.25">
      <c r="A21" s="5" t="s">
        <v>33</v>
      </c>
      <c r="B21" s="6" t="s">
        <v>34</v>
      </c>
    </row>
    <row r="22" spans="1:2" x14ac:dyDescent="0.25">
      <c r="A22" s="5" t="s">
        <v>35</v>
      </c>
      <c r="B22" s="6" t="s">
        <v>36</v>
      </c>
    </row>
    <row r="23" spans="1:2" x14ac:dyDescent="0.25">
      <c r="A23" s="5" t="s">
        <v>12</v>
      </c>
      <c r="B23" s="6" t="s">
        <v>12</v>
      </c>
    </row>
    <row r="24" spans="1:2" x14ac:dyDescent="0.25">
      <c r="A24" s="5" t="s">
        <v>37</v>
      </c>
      <c r="B24" s="6" t="s">
        <v>38</v>
      </c>
    </row>
    <row r="25" spans="1:2" x14ac:dyDescent="0.25">
      <c r="A25" s="5" t="s">
        <v>39</v>
      </c>
      <c r="B25" s="6" t="s">
        <v>40</v>
      </c>
    </row>
    <row r="26" spans="1:2" x14ac:dyDescent="0.25">
      <c r="A26" s="5" t="s">
        <v>41</v>
      </c>
      <c r="B26" s="6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8" customWidth="1"/>
    <col min="4" max="4" width="13" customWidth="1"/>
    <col min="5" max="5" width="24" customWidth="1"/>
    <col min="6" max="6" width="10" customWidth="1"/>
    <col min="7" max="7" width="16" customWidth="1"/>
    <col min="8" max="8" width="36" customWidth="1"/>
    <col min="9" max="9" width="40" customWidth="1"/>
    <col min="10" max="11" width="42" customWidth="1"/>
    <col min="12" max="12" width="24" customWidth="1"/>
  </cols>
  <sheetData>
    <row r="1" spans="1:1" x14ac:dyDescent="0.25">
      <c r="A1" s="1" t="s">
        <v>43</v>
      </c>
    </row>
    <row r="2" spans="1:1" x14ac:dyDescent="0.25">
      <c r="A2" s="2" t="s">
        <v>44</v>
      </c>
    </row>
    <row r="3" ht="32" customHeight="1" spans="1:12" x14ac:dyDescent="0.25">
      <c r="A3" s="8" t="s">
        <v>45</v>
      </c>
      <c r="B3" s="8" t="s">
        <v>46</v>
      </c>
      <c r="C3" s="8" t="s">
        <v>47</v>
      </c>
      <c r="D3" s="8" t="s">
        <v>48</v>
      </c>
      <c r="E3" s="8" t="s">
        <v>49</v>
      </c>
      <c r="F3" s="8" t="s">
        <v>15</v>
      </c>
      <c r="G3" s="8" t="s">
        <v>50</v>
      </c>
      <c r="H3" s="8" t="s">
        <v>51</v>
      </c>
      <c r="I3" s="8" t="s">
        <v>52</v>
      </c>
      <c r="J3" s="8" t="s">
        <v>53</v>
      </c>
      <c r="K3" s="8" t="s">
        <v>54</v>
      </c>
      <c r="L3" s="8" t="s">
        <v>55</v>
      </c>
    </row>
    <row r="4" spans="1:12" x14ac:dyDescent="0.25">
      <c r="A4" s="9" t="s">
        <v>56</v>
      </c>
      <c r="B4" s="9" t="s">
        <v>57</v>
      </c>
      <c r="C4" s="9" t="s">
        <v>58</v>
      </c>
      <c r="D4" s="9" t="s">
        <v>59</v>
      </c>
      <c r="E4" s="9" t="s">
        <v>60</v>
      </c>
      <c r="F4" s="9" t="s">
        <v>61</v>
      </c>
      <c r="G4" s="9" t="s">
        <v>62</v>
      </c>
      <c r="H4" s="9" t="s">
        <v>63</v>
      </c>
      <c r="I4" s="9" t="s">
        <v>64</v>
      </c>
      <c r="J4" s="9" t="s">
        <v>65</v>
      </c>
      <c r="K4" s="9" t="s">
        <v>66</v>
      </c>
      <c r="L4" s="9" t="s">
        <v>67</v>
      </c>
    </row>
    <row r="5" spans="1:12" x14ac:dyDescent="0.25">
      <c r="A5" s="10" t="s">
        <v>68</v>
      </c>
      <c r="B5" s="10" t="s">
        <v>69</v>
      </c>
      <c r="C5" s="10" t="s">
        <v>70</v>
      </c>
      <c r="D5" s="10" t="s">
        <v>59</v>
      </c>
      <c r="E5" s="10" t="s">
        <v>71</v>
      </c>
      <c r="F5" s="10" t="s">
        <v>61</v>
      </c>
      <c r="G5" s="10" t="s">
        <v>27</v>
      </c>
      <c r="H5" s="10" t="s">
        <v>63</v>
      </c>
      <c r="I5" s="10" t="s">
        <v>72</v>
      </c>
      <c r="J5" s="10" t="s">
        <v>73</v>
      </c>
      <c r="K5" s="10" t="s">
        <v>74</v>
      </c>
      <c r="L5" s="10" t="s">
        <v>67</v>
      </c>
    </row>
    <row r="6" spans="1:12" x14ac:dyDescent="0.25">
      <c r="A6" s="9" t="s">
        <v>75</v>
      </c>
      <c r="B6" s="9" t="s">
        <v>76</v>
      </c>
      <c r="C6" s="9" t="s">
        <v>77</v>
      </c>
      <c r="D6" s="9" t="s">
        <v>59</v>
      </c>
      <c r="E6" s="9" t="s">
        <v>78</v>
      </c>
      <c r="F6" s="9" t="s">
        <v>61</v>
      </c>
      <c r="G6" s="9" t="s">
        <v>31</v>
      </c>
      <c r="H6" s="9" t="s">
        <v>63</v>
      </c>
      <c r="I6" s="9" t="s">
        <v>79</v>
      </c>
      <c r="J6" s="9" t="s">
        <v>80</v>
      </c>
      <c r="K6" s="9" t="s">
        <v>81</v>
      </c>
      <c r="L6" s="9" t="s">
        <v>67</v>
      </c>
    </row>
    <row r="7" spans="1:12" x14ac:dyDescent="0.25">
      <c r="A7" s="10" t="s">
        <v>82</v>
      </c>
      <c r="B7" s="10" t="s">
        <v>83</v>
      </c>
      <c r="C7" s="10" t="s">
        <v>84</v>
      </c>
      <c r="D7" s="10" t="s">
        <v>85</v>
      </c>
      <c r="E7" s="10" t="s">
        <v>86</v>
      </c>
      <c r="F7" s="10" t="s">
        <v>61</v>
      </c>
      <c r="G7" s="10" t="s">
        <v>62</v>
      </c>
      <c r="H7" s="10" t="s">
        <v>87</v>
      </c>
      <c r="I7" s="10" t="s">
        <v>88</v>
      </c>
      <c r="J7" s="10" t="s">
        <v>89</v>
      </c>
      <c r="K7" s="10" t="s">
        <v>90</v>
      </c>
      <c r="L7" s="10" t="s">
        <v>91</v>
      </c>
    </row>
    <row r="8" spans="1:12" x14ac:dyDescent="0.25">
      <c r="A8" s="9" t="s">
        <v>92</v>
      </c>
      <c r="B8" s="9" t="s">
        <v>93</v>
      </c>
      <c r="C8" s="9" t="s">
        <v>94</v>
      </c>
      <c r="D8" s="9" t="s">
        <v>85</v>
      </c>
      <c r="E8" s="9" t="s">
        <v>95</v>
      </c>
      <c r="F8" s="9" t="s">
        <v>96</v>
      </c>
      <c r="G8" s="9" t="s">
        <v>35</v>
      </c>
      <c r="H8" s="9" t="s">
        <v>87</v>
      </c>
      <c r="I8" s="9" t="s">
        <v>97</v>
      </c>
      <c r="J8" s="9" t="s">
        <v>98</v>
      </c>
      <c r="K8" s="9" t="s">
        <v>99</v>
      </c>
      <c r="L8" s="9" t="s">
        <v>91</v>
      </c>
    </row>
    <row r="9" spans="1:12" x14ac:dyDescent="0.25">
      <c r="A9" s="10" t="s">
        <v>100</v>
      </c>
      <c r="B9" s="10" t="s">
        <v>101</v>
      </c>
      <c r="C9" s="10" t="s">
        <v>102</v>
      </c>
      <c r="D9" s="10" t="s">
        <v>85</v>
      </c>
      <c r="E9" s="10" t="s">
        <v>71</v>
      </c>
      <c r="F9" s="10" t="s">
        <v>61</v>
      </c>
      <c r="G9" s="10" t="s">
        <v>27</v>
      </c>
      <c r="H9" s="10" t="s">
        <v>87</v>
      </c>
      <c r="I9" s="10" t="s">
        <v>103</v>
      </c>
      <c r="J9" s="10" t="s">
        <v>104</v>
      </c>
      <c r="K9" s="10" t="s">
        <v>105</v>
      </c>
      <c r="L9" s="10" t="s">
        <v>91</v>
      </c>
    </row>
    <row r="10" spans="1:12" x14ac:dyDescent="0.25">
      <c r="A10" s="9" t="s">
        <v>106</v>
      </c>
      <c r="B10" s="9" t="s">
        <v>107</v>
      </c>
      <c r="C10" s="9" t="s">
        <v>108</v>
      </c>
      <c r="D10" s="9" t="s">
        <v>85</v>
      </c>
      <c r="E10" s="9" t="s">
        <v>78</v>
      </c>
      <c r="F10" s="9" t="s">
        <v>96</v>
      </c>
      <c r="G10" s="9" t="s">
        <v>27</v>
      </c>
      <c r="H10" s="9" t="s">
        <v>87</v>
      </c>
      <c r="I10" s="9" t="s">
        <v>109</v>
      </c>
      <c r="J10" s="9" t="s">
        <v>104</v>
      </c>
      <c r="K10" s="9" t="s">
        <v>110</v>
      </c>
      <c r="L10" s="9" t="s">
        <v>91</v>
      </c>
    </row>
    <row r="11" spans="1:12" x14ac:dyDescent="0.25">
      <c r="A11" s="10" t="s">
        <v>111</v>
      </c>
      <c r="B11" s="10" t="s">
        <v>112</v>
      </c>
      <c r="C11" s="10" t="s">
        <v>113</v>
      </c>
      <c r="D11" s="10" t="s">
        <v>85</v>
      </c>
      <c r="E11" s="10" t="s">
        <v>78</v>
      </c>
      <c r="F11" s="10" t="s">
        <v>96</v>
      </c>
      <c r="G11" s="10" t="s">
        <v>31</v>
      </c>
      <c r="H11" s="10" t="s">
        <v>87</v>
      </c>
      <c r="I11" s="10" t="s">
        <v>114</v>
      </c>
      <c r="J11" s="10" t="s">
        <v>104</v>
      </c>
      <c r="K11" s="10" t="s">
        <v>115</v>
      </c>
      <c r="L11" s="10" t="s">
        <v>91</v>
      </c>
    </row>
    <row r="12" spans="1:12" x14ac:dyDescent="0.25">
      <c r="A12" s="9" t="s">
        <v>116</v>
      </c>
      <c r="B12" s="9" t="s">
        <v>117</v>
      </c>
      <c r="C12" s="9" t="s">
        <v>118</v>
      </c>
      <c r="D12" s="9" t="s">
        <v>85</v>
      </c>
      <c r="E12" s="9" t="s">
        <v>78</v>
      </c>
      <c r="F12" s="9" t="s">
        <v>61</v>
      </c>
      <c r="G12" s="9" t="s">
        <v>31</v>
      </c>
      <c r="H12" s="9" t="s">
        <v>87</v>
      </c>
      <c r="I12" s="9" t="s">
        <v>79</v>
      </c>
      <c r="J12" s="9" t="s">
        <v>104</v>
      </c>
      <c r="K12" s="9" t="s">
        <v>119</v>
      </c>
      <c r="L12" s="9" t="s">
        <v>91</v>
      </c>
    </row>
    <row r="13" spans="1:12" x14ac:dyDescent="0.25">
      <c r="A13" s="10" t="s">
        <v>120</v>
      </c>
      <c r="B13" s="10" t="s">
        <v>121</v>
      </c>
      <c r="C13" s="10" t="s">
        <v>122</v>
      </c>
      <c r="D13" s="10" t="s">
        <v>85</v>
      </c>
      <c r="E13" s="10" t="s">
        <v>71</v>
      </c>
      <c r="F13" s="10" t="s">
        <v>96</v>
      </c>
      <c r="G13" s="10" t="s">
        <v>31</v>
      </c>
      <c r="H13" s="10" t="s">
        <v>87</v>
      </c>
      <c r="I13" s="10" t="s">
        <v>123</v>
      </c>
      <c r="J13" s="10" t="s">
        <v>104</v>
      </c>
      <c r="K13" s="10" t="s">
        <v>124</v>
      </c>
      <c r="L13" s="10" t="s">
        <v>91</v>
      </c>
    </row>
    <row r="14" spans="1:12" x14ac:dyDescent="0.25">
      <c r="A14" s="9" t="s">
        <v>125</v>
      </c>
      <c r="B14" s="9" t="s">
        <v>126</v>
      </c>
      <c r="C14" s="9" t="s">
        <v>127</v>
      </c>
      <c r="D14" s="9" t="s">
        <v>85</v>
      </c>
      <c r="E14" s="9" t="s">
        <v>128</v>
      </c>
      <c r="F14" s="9" t="s">
        <v>61</v>
      </c>
      <c r="G14" s="9" t="s">
        <v>33</v>
      </c>
      <c r="H14" s="9" t="s">
        <v>87</v>
      </c>
      <c r="I14" s="9" t="s">
        <v>129</v>
      </c>
      <c r="J14" s="9" t="s">
        <v>104</v>
      </c>
      <c r="K14" s="9" t="s">
        <v>130</v>
      </c>
      <c r="L14" s="9" t="s">
        <v>91</v>
      </c>
    </row>
    <row r="15" spans="1:12" x14ac:dyDescent="0.25">
      <c r="A15" s="10" t="s">
        <v>131</v>
      </c>
      <c r="B15" s="10" t="s">
        <v>132</v>
      </c>
      <c r="C15" s="10" t="s">
        <v>133</v>
      </c>
      <c r="D15" s="10" t="s">
        <v>85</v>
      </c>
      <c r="E15" s="10" t="s">
        <v>134</v>
      </c>
      <c r="F15" s="10" t="s">
        <v>61</v>
      </c>
      <c r="G15" s="10" t="s">
        <v>33</v>
      </c>
      <c r="H15" s="10" t="s">
        <v>87</v>
      </c>
      <c r="I15" s="10" t="s">
        <v>135</v>
      </c>
      <c r="J15" s="10" t="s">
        <v>104</v>
      </c>
      <c r="K15" s="10" t="s">
        <v>136</v>
      </c>
      <c r="L15" s="10" t="s">
        <v>91</v>
      </c>
    </row>
    <row r="16" spans="1:12" x14ac:dyDescent="0.25">
      <c r="A16" s="9" t="s">
        <v>137</v>
      </c>
      <c r="B16" s="9" t="s">
        <v>138</v>
      </c>
      <c r="C16" s="9" t="s">
        <v>139</v>
      </c>
      <c r="D16" s="9" t="s">
        <v>85</v>
      </c>
      <c r="E16" s="9" t="s">
        <v>86</v>
      </c>
      <c r="F16" s="9" t="s">
        <v>96</v>
      </c>
      <c r="G16" s="9" t="s">
        <v>35</v>
      </c>
      <c r="H16" s="9" t="s">
        <v>87</v>
      </c>
      <c r="I16" s="9" t="s">
        <v>140</v>
      </c>
      <c r="J16" s="9" t="s">
        <v>141</v>
      </c>
      <c r="K16" s="9" t="s">
        <v>142</v>
      </c>
      <c r="L16" s="9" t="s">
        <v>91</v>
      </c>
    </row>
    <row r="17" spans="1:12" x14ac:dyDescent="0.25">
      <c r="A17" s="10" t="s">
        <v>143</v>
      </c>
      <c r="B17" s="10" t="s">
        <v>144</v>
      </c>
      <c r="C17" s="10" t="s">
        <v>145</v>
      </c>
      <c r="D17" s="10" t="s">
        <v>85</v>
      </c>
      <c r="E17" s="10" t="s">
        <v>146</v>
      </c>
      <c r="F17" s="10" t="s">
        <v>96</v>
      </c>
      <c r="G17" s="10" t="s">
        <v>147</v>
      </c>
      <c r="H17" s="10" t="s">
        <v>87</v>
      </c>
      <c r="I17" s="10" t="s">
        <v>148</v>
      </c>
      <c r="J17" s="10" t="s">
        <v>149</v>
      </c>
      <c r="K17" s="10" t="s">
        <v>150</v>
      </c>
      <c r="L17" s="10" t="s">
        <v>91</v>
      </c>
    </row>
    <row r="18" spans="1:12" x14ac:dyDescent="0.25">
      <c r="A18" s="9" t="s">
        <v>151</v>
      </c>
      <c r="B18" s="9" t="s">
        <v>152</v>
      </c>
      <c r="C18" s="9" t="s">
        <v>153</v>
      </c>
      <c r="D18" s="9" t="s">
        <v>85</v>
      </c>
      <c r="E18" s="9" t="s">
        <v>154</v>
      </c>
      <c r="F18" s="9" t="s">
        <v>61</v>
      </c>
      <c r="G18" s="9" t="s">
        <v>35</v>
      </c>
      <c r="H18" s="9" t="s">
        <v>87</v>
      </c>
      <c r="I18" s="9" t="s">
        <v>155</v>
      </c>
      <c r="J18" s="9" t="s">
        <v>156</v>
      </c>
      <c r="K18" s="9" t="s">
        <v>157</v>
      </c>
      <c r="L18" s="9" t="s">
        <v>91</v>
      </c>
    </row>
    <row r="19" spans="1:12" x14ac:dyDescent="0.25">
      <c r="A19" s="10" t="s">
        <v>158</v>
      </c>
      <c r="B19" s="10" t="s">
        <v>159</v>
      </c>
      <c r="C19" s="10" t="s">
        <v>160</v>
      </c>
      <c r="D19" s="10" t="s">
        <v>85</v>
      </c>
      <c r="E19" s="10" t="s">
        <v>161</v>
      </c>
      <c r="F19" s="10" t="s">
        <v>61</v>
      </c>
      <c r="G19" s="10" t="s">
        <v>29</v>
      </c>
      <c r="H19" s="10" t="s">
        <v>87</v>
      </c>
      <c r="I19" s="10" t="s">
        <v>162</v>
      </c>
      <c r="J19" s="10" t="s">
        <v>163</v>
      </c>
      <c r="K19" s="10" t="s">
        <v>164</v>
      </c>
      <c r="L19" s="10" t="s">
        <v>91</v>
      </c>
    </row>
    <row r="20" spans="1:12" x14ac:dyDescent="0.25">
      <c r="A20" s="9" t="s">
        <v>165</v>
      </c>
      <c r="B20" s="9" t="s">
        <v>166</v>
      </c>
      <c r="C20" s="9" t="s">
        <v>167</v>
      </c>
      <c r="D20" s="9" t="s">
        <v>168</v>
      </c>
      <c r="E20" s="9" t="s">
        <v>169</v>
      </c>
      <c r="F20" s="9" t="s">
        <v>61</v>
      </c>
      <c r="G20" s="9" t="s">
        <v>170</v>
      </c>
      <c r="H20" s="9" t="s">
        <v>171</v>
      </c>
      <c r="I20" s="9" t="s">
        <v>172</v>
      </c>
      <c r="J20" s="9" t="s">
        <v>173</v>
      </c>
      <c r="K20" s="9" t="s">
        <v>174</v>
      </c>
      <c r="L20" s="9" t="s">
        <v>175</v>
      </c>
    </row>
    <row r="21" spans="1:12" x14ac:dyDescent="0.25">
      <c r="A21" s="10" t="s">
        <v>176</v>
      </c>
      <c r="B21" s="10" t="s">
        <v>177</v>
      </c>
      <c r="C21" s="10" t="s">
        <v>178</v>
      </c>
      <c r="D21" s="10" t="s">
        <v>168</v>
      </c>
      <c r="E21" s="10" t="s">
        <v>179</v>
      </c>
      <c r="F21" s="10" t="s">
        <v>61</v>
      </c>
      <c r="G21" s="10" t="s">
        <v>180</v>
      </c>
      <c r="H21" s="10" t="s">
        <v>171</v>
      </c>
      <c r="I21" s="10" t="s">
        <v>181</v>
      </c>
      <c r="J21" s="10" t="s">
        <v>173</v>
      </c>
      <c r="K21" s="10" t="s">
        <v>174</v>
      </c>
      <c r="L21" s="10" t="s">
        <v>175</v>
      </c>
    </row>
    <row r="22" spans="1:12" x14ac:dyDescent="0.25">
      <c r="A22" s="9" t="s">
        <v>182</v>
      </c>
      <c r="B22" s="9" t="s">
        <v>183</v>
      </c>
      <c r="C22" s="9" t="s">
        <v>184</v>
      </c>
      <c r="D22" s="9" t="s">
        <v>168</v>
      </c>
      <c r="E22" s="9" t="s">
        <v>185</v>
      </c>
      <c r="F22" s="9" t="s">
        <v>96</v>
      </c>
      <c r="G22" s="9" t="s">
        <v>35</v>
      </c>
      <c r="H22" s="9" t="s">
        <v>171</v>
      </c>
      <c r="I22" s="9" t="s">
        <v>186</v>
      </c>
      <c r="J22" s="9" t="s">
        <v>173</v>
      </c>
      <c r="K22" s="9" t="s">
        <v>174</v>
      </c>
      <c r="L22" s="9" t="s">
        <v>175</v>
      </c>
    </row>
    <row r="23" spans="1:12" x14ac:dyDescent="0.25">
      <c r="A23" s="10" t="s">
        <v>187</v>
      </c>
      <c r="B23" s="10" t="s">
        <v>188</v>
      </c>
      <c r="C23" s="10" t="s">
        <v>189</v>
      </c>
      <c r="D23" s="10" t="s">
        <v>168</v>
      </c>
      <c r="E23" s="10" t="s">
        <v>185</v>
      </c>
      <c r="F23" s="10" t="s">
        <v>96</v>
      </c>
      <c r="G23" s="10" t="s">
        <v>190</v>
      </c>
      <c r="H23" s="10" t="s">
        <v>171</v>
      </c>
      <c r="I23" s="10" t="s">
        <v>191</v>
      </c>
      <c r="J23" s="10" t="s">
        <v>173</v>
      </c>
      <c r="K23" s="10" t="s">
        <v>174</v>
      </c>
      <c r="L23" s="10" t="s">
        <v>175</v>
      </c>
    </row>
    <row r="24" spans="1:12" x14ac:dyDescent="0.25">
      <c r="A24" s="9" t="s">
        <v>192</v>
      </c>
      <c r="B24" s="9" t="s">
        <v>193</v>
      </c>
      <c r="C24" s="9" t="s">
        <v>194</v>
      </c>
      <c r="D24" s="9" t="s">
        <v>168</v>
      </c>
      <c r="E24" s="9" t="s">
        <v>185</v>
      </c>
      <c r="F24" s="9" t="s">
        <v>195</v>
      </c>
      <c r="G24" s="9" t="s">
        <v>196</v>
      </c>
      <c r="H24" s="9" t="s">
        <v>171</v>
      </c>
      <c r="I24" s="9" t="s">
        <v>197</v>
      </c>
      <c r="J24" s="9" t="s">
        <v>173</v>
      </c>
      <c r="K24" s="9" t="s">
        <v>174</v>
      </c>
      <c r="L24" s="9" t="s">
        <v>175</v>
      </c>
    </row>
    <row r="25" spans="1:12" x14ac:dyDescent="0.25">
      <c r="A25" s="10" t="s">
        <v>198</v>
      </c>
      <c r="B25" s="10" t="s">
        <v>199</v>
      </c>
      <c r="C25" s="10" t="s">
        <v>200</v>
      </c>
      <c r="D25" s="10" t="s">
        <v>168</v>
      </c>
      <c r="E25" s="10" t="s">
        <v>201</v>
      </c>
      <c r="F25" s="10" t="s">
        <v>96</v>
      </c>
      <c r="G25" s="10" t="s">
        <v>202</v>
      </c>
      <c r="H25" s="10" t="s">
        <v>171</v>
      </c>
      <c r="I25" s="10" t="s">
        <v>203</v>
      </c>
      <c r="J25" s="10" t="s">
        <v>173</v>
      </c>
      <c r="K25" s="10" t="s">
        <v>174</v>
      </c>
      <c r="L25" s="10" t="s">
        <v>175</v>
      </c>
    </row>
  </sheetData>
  <autoFilter ref="A3:L25"/>
  <dataValidations count="2">
    <dataValidation type="list" allowBlank="1" showErrorMessage="1" errorTitle="Valor no válido" error="Use: Alta, Media, Baja" sqref="F10:F25">
      <formula1>"Alta,Media,Baja"</formula1>
    </dataValidation>
    <dataValidation type="list" allowBlank="1" showErrorMessage="1" errorTitle="Valor no válido" error="Use: Alta, Media, Baja" sqref="F4:F25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2" width="12" customWidth="1"/>
    <col min="3" max="3" width="7" customWidth="1"/>
    <col min="4" max="4" width="16" customWidth="1"/>
    <col min="5" max="5" width="26" customWidth="1"/>
    <col min="6" max="6" width="20" customWidth="1"/>
    <col min="7" max="7" width="24" customWidth="1"/>
    <col min="8" max="8" width="60" customWidth="1"/>
    <col min="9" max="9" width="11" customWidth="1"/>
    <col min="10" max="10" width="14" customWidth="1"/>
    <col min="11" max="11" width="52" customWidth="1"/>
  </cols>
  <sheetData>
    <row r="1" spans="1:1" x14ac:dyDescent="0.25">
      <c r="A1" s="1" t="s">
        <v>204</v>
      </c>
    </row>
    <row r="2" spans="1:1" x14ac:dyDescent="0.25">
      <c r="A2" s="2" t="s">
        <v>205</v>
      </c>
    </row>
    <row r="3" ht="32" customHeight="1" spans="1:11" x14ac:dyDescent="0.25">
      <c r="A3" s="8" t="s">
        <v>206</v>
      </c>
      <c r="B3" s="8" t="s">
        <v>207</v>
      </c>
      <c r="C3" s="8" t="s">
        <v>23</v>
      </c>
      <c r="D3" s="8" t="s">
        <v>208</v>
      </c>
      <c r="E3" s="8" t="s">
        <v>209</v>
      </c>
      <c r="F3" s="8" t="s">
        <v>210</v>
      </c>
      <c r="G3" s="8" t="s">
        <v>211</v>
      </c>
      <c r="H3" s="8" t="s">
        <v>212</v>
      </c>
      <c r="I3" s="8" t="s">
        <v>213</v>
      </c>
      <c r="J3" s="8" t="s">
        <v>214</v>
      </c>
      <c r="K3" s="8" t="s">
        <v>215</v>
      </c>
    </row>
    <row r="4" spans="1:11" x14ac:dyDescent="0.25">
      <c r="A4" s="9" t="s">
        <v>216</v>
      </c>
      <c r="B4" s="9" t="s">
        <v>165</v>
      </c>
      <c r="C4" s="9">
        <v>1</v>
      </c>
      <c r="D4" s="9" t="s">
        <v>217</v>
      </c>
      <c r="E4" s="9" t="s">
        <v>218</v>
      </c>
      <c r="F4" s="11" t="s">
        <v>219</v>
      </c>
      <c r="G4" s="9" t="s">
        <v>220</v>
      </c>
      <c r="H4" s="9" t="s">
        <v>221</v>
      </c>
      <c r="I4" s="9" t="s">
        <v>222</v>
      </c>
      <c r="J4" s="9" t="s">
        <v>12</v>
      </c>
      <c r="K4" s="9" t="s">
        <v>223</v>
      </c>
    </row>
    <row r="5" spans="1:11" x14ac:dyDescent="0.25">
      <c r="A5" s="10" t="s">
        <v>224</v>
      </c>
      <c r="B5" s="10" t="s">
        <v>176</v>
      </c>
      <c r="C5" s="10">
        <v>1</v>
      </c>
      <c r="D5" s="10" t="s">
        <v>217</v>
      </c>
      <c r="E5" s="10" t="s">
        <v>218</v>
      </c>
      <c r="F5" s="11" t="s">
        <v>219</v>
      </c>
      <c r="G5" s="10" t="s">
        <v>220</v>
      </c>
      <c r="H5" s="10" t="s">
        <v>225</v>
      </c>
      <c r="I5" s="10" t="s">
        <v>222</v>
      </c>
      <c r="J5" s="10" t="s">
        <v>12</v>
      </c>
      <c r="K5" s="10" t="s">
        <v>223</v>
      </c>
    </row>
    <row r="6" spans="1:11" x14ac:dyDescent="0.25">
      <c r="A6" s="9" t="s">
        <v>226</v>
      </c>
      <c r="B6" s="9" t="s">
        <v>182</v>
      </c>
      <c r="C6" s="9">
        <v>1</v>
      </c>
      <c r="D6" s="9" t="s">
        <v>217</v>
      </c>
      <c r="E6" s="9" t="s">
        <v>218</v>
      </c>
      <c r="F6" s="11" t="s">
        <v>219</v>
      </c>
      <c r="G6" s="9" t="s">
        <v>220</v>
      </c>
      <c r="H6" s="9" t="s">
        <v>227</v>
      </c>
      <c r="I6" s="9" t="s">
        <v>228</v>
      </c>
      <c r="J6" s="9" t="s">
        <v>229</v>
      </c>
      <c r="K6" s="9" t="s">
        <v>223</v>
      </c>
    </row>
    <row r="7" spans="1:11" x14ac:dyDescent="0.25">
      <c r="A7" s="10" t="s">
        <v>230</v>
      </c>
      <c r="B7" s="10" t="s">
        <v>187</v>
      </c>
      <c r="C7" s="10">
        <v>1</v>
      </c>
      <c r="D7" s="10" t="s">
        <v>217</v>
      </c>
      <c r="E7" s="10" t="s">
        <v>218</v>
      </c>
      <c r="F7" s="11" t="s">
        <v>219</v>
      </c>
      <c r="G7" s="10" t="s">
        <v>220</v>
      </c>
      <c r="H7" s="10" t="s">
        <v>231</v>
      </c>
      <c r="I7" s="10" t="s">
        <v>228</v>
      </c>
      <c r="J7" s="10" t="s">
        <v>232</v>
      </c>
      <c r="K7" s="10" t="s">
        <v>223</v>
      </c>
    </row>
    <row r="8" spans="1:11" x14ac:dyDescent="0.25">
      <c r="A8" s="9" t="s">
        <v>233</v>
      </c>
      <c r="B8" s="9" t="s">
        <v>192</v>
      </c>
      <c r="C8" s="9">
        <v>1</v>
      </c>
      <c r="D8" s="9" t="s">
        <v>217</v>
      </c>
      <c r="E8" s="9" t="s">
        <v>218</v>
      </c>
      <c r="F8" s="11" t="s">
        <v>219</v>
      </c>
      <c r="G8" s="9" t="s">
        <v>220</v>
      </c>
      <c r="H8" s="9" t="s">
        <v>234</v>
      </c>
      <c r="I8" s="9" t="s">
        <v>228</v>
      </c>
      <c r="J8" s="9" t="s">
        <v>235</v>
      </c>
      <c r="K8" s="9" t="s">
        <v>223</v>
      </c>
    </row>
    <row r="9" spans="1:11" x14ac:dyDescent="0.25">
      <c r="A9" s="10" t="s">
        <v>236</v>
      </c>
      <c r="B9" s="10" t="s">
        <v>198</v>
      </c>
      <c r="C9" s="10">
        <v>1</v>
      </c>
      <c r="D9" s="10" t="s">
        <v>217</v>
      </c>
      <c r="E9" s="10" t="s">
        <v>218</v>
      </c>
      <c r="F9" s="11" t="s">
        <v>219</v>
      </c>
      <c r="G9" s="10" t="s">
        <v>220</v>
      </c>
      <c r="H9" s="10" t="s">
        <v>237</v>
      </c>
      <c r="I9" s="10" t="s">
        <v>222</v>
      </c>
      <c r="J9" s="10" t="s">
        <v>12</v>
      </c>
      <c r="K9" s="10" t="s">
        <v>223</v>
      </c>
    </row>
    <row r="10" spans="1:11" x14ac:dyDescent="0.25">
      <c r="A10" s="9" t="s">
        <v>238</v>
      </c>
      <c r="B10" s="9" t="s">
        <v>165</v>
      </c>
      <c r="C10" s="9">
        <v>2</v>
      </c>
      <c r="D10" s="9" t="s">
        <v>239</v>
      </c>
      <c r="E10" s="9" t="s">
        <v>240</v>
      </c>
      <c r="F10" s="11" t="s">
        <v>219</v>
      </c>
      <c r="G10" s="9" t="s">
        <v>220</v>
      </c>
      <c r="H10" s="9" t="s">
        <v>221</v>
      </c>
      <c r="I10" s="9" t="s">
        <v>222</v>
      </c>
      <c r="J10" s="9" t="s">
        <v>12</v>
      </c>
      <c r="K10" s="9" t="s">
        <v>241</v>
      </c>
    </row>
    <row r="11" spans="1:11" x14ac:dyDescent="0.25">
      <c r="A11" s="10" t="s">
        <v>242</v>
      </c>
      <c r="B11" s="10" t="s">
        <v>176</v>
      </c>
      <c r="C11" s="10">
        <v>2</v>
      </c>
      <c r="D11" s="10" t="s">
        <v>239</v>
      </c>
      <c r="E11" s="10" t="s">
        <v>240</v>
      </c>
      <c r="F11" s="11" t="s">
        <v>219</v>
      </c>
      <c r="G11" s="10" t="s">
        <v>220</v>
      </c>
      <c r="H11" s="10" t="s">
        <v>225</v>
      </c>
      <c r="I11" s="10" t="s">
        <v>222</v>
      </c>
      <c r="J11" s="10" t="s">
        <v>12</v>
      </c>
      <c r="K11" s="10" t="s">
        <v>241</v>
      </c>
    </row>
    <row r="12" spans="1:11" x14ac:dyDescent="0.25">
      <c r="A12" s="9" t="s">
        <v>243</v>
      </c>
      <c r="B12" s="9" t="s">
        <v>182</v>
      </c>
      <c r="C12" s="9">
        <v>2</v>
      </c>
      <c r="D12" s="9" t="s">
        <v>239</v>
      </c>
      <c r="E12" s="9" t="s">
        <v>240</v>
      </c>
      <c r="F12" s="11" t="s">
        <v>219</v>
      </c>
      <c r="G12" s="9" t="s">
        <v>220</v>
      </c>
      <c r="H12" s="9" t="s">
        <v>225</v>
      </c>
      <c r="I12" s="9" t="s">
        <v>222</v>
      </c>
      <c r="J12" s="9" t="s">
        <v>229</v>
      </c>
      <c r="K12" s="9" t="s">
        <v>241</v>
      </c>
    </row>
    <row r="13" spans="1:11" x14ac:dyDescent="0.25">
      <c r="A13" s="10" t="s">
        <v>244</v>
      </c>
      <c r="B13" s="10" t="s">
        <v>187</v>
      </c>
      <c r="C13" s="10">
        <v>2</v>
      </c>
      <c r="D13" s="10" t="s">
        <v>239</v>
      </c>
      <c r="E13" s="10" t="s">
        <v>240</v>
      </c>
      <c r="F13" s="11" t="s">
        <v>219</v>
      </c>
      <c r="G13" s="10" t="s">
        <v>220</v>
      </c>
      <c r="H13" s="10" t="s">
        <v>245</v>
      </c>
      <c r="I13" s="10" t="s">
        <v>222</v>
      </c>
      <c r="J13" s="10" t="s">
        <v>232</v>
      </c>
      <c r="K13" s="10" t="s">
        <v>241</v>
      </c>
    </row>
    <row r="14" spans="1:11" x14ac:dyDescent="0.25">
      <c r="A14" s="9" t="s">
        <v>246</v>
      </c>
      <c r="B14" s="9" t="s">
        <v>192</v>
      </c>
      <c r="C14" s="9">
        <v>2</v>
      </c>
      <c r="D14" s="9" t="s">
        <v>239</v>
      </c>
      <c r="E14" s="9" t="s">
        <v>240</v>
      </c>
      <c r="F14" s="11" t="s">
        <v>219</v>
      </c>
      <c r="G14" s="9" t="s">
        <v>220</v>
      </c>
      <c r="H14" s="9" t="s">
        <v>247</v>
      </c>
      <c r="I14" s="9" t="s">
        <v>222</v>
      </c>
      <c r="J14" s="9" t="s">
        <v>235</v>
      </c>
      <c r="K14" s="9" t="s">
        <v>241</v>
      </c>
    </row>
    <row r="15" spans="1:11" x14ac:dyDescent="0.25">
      <c r="A15" s="10" t="s">
        <v>248</v>
      </c>
      <c r="B15" s="10" t="s">
        <v>198</v>
      </c>
      <c r="C15" s="10">
        <v>2</v>
      </c>
      <c r="D15" s="10" t="s">
        <v>239</v>
      </c>
      <c r="E15" s="10" t="s">
        <v>240</v>
      </c>
      <c r="F15" s="11" t="s">
        <v>219</v>
      </c>
      <c r="G15" s="10" t="s">
        <v>220</v>
      </c>
      <c r="H15" s="10" t="s">
        <v>237</v>
      </c>
      <c r="I15" s="10" t="s">
        <v>222</v>
      </c>
      <c r="J15" s="10" t="s">
        <v>12</v>
      </c>
      <c r="K15" s="10" t="s">
        <v>241</v>
      </c>
    </row>
    <row r="16" spans="1:11" x14ac:dyDescent="0.25">
      <c r="A16" s="9" t="s">
        <v>249</v>
      </c>
      <c r="B16" s="9" t="s">
        <v>56</v>
      </c>
      <c r="C16" s="9">
        <v>1</v>
      </c>
      <c r="D16" s="9" t="s">
        <v>250</v>
      </c>
      <c r="E16" s="9" t="s">
        <v>251</v>
      </c>
      <c r="F16" s="11" t="s">
        <v>219</v>
      </c>
      <c r="G16" s="9" t="s">
        <v>220</v>
      </c>
      <c r="H16" s="9" t="s">
        <v>252</v>
      </c>
      <c r="I16" s="9" t="s">
        <v>222</v>
      </c>
      <c r="J16" s="9" t="s">
        <v>253</v>
      </c>
      <c r="K16" s="9" t="s">
        <v>254</v>
      </c>
    </row>
    <row r="17" spans="1:11" x14ac:dyDescent="0.25">
      <c r="A17" s="10" t="s">
        <v>255</v>
      </c>
      <c r="B17" s="10" t="s">
        <v>68</v>
      </c>
      <c r="C17" s="10">
        <v>1</v>
      </c>
      <c r="D17" s="10" t="s">
        <v>250</v>
      </c>
      <c r="E17" s="10" t="s">
        <v>251</v>
      </c>
      <c r="F17" s="11" t="s">
        <v>219</v>
      </c>
      <c r="G17" s="10" t="s">
        <v>220</v>
      </c>
      <c r="H17" s="10" t="s">
        <v>256</v>
      </c>
      <c r="I17" s="10" t="s">
        <v>222</v>
      </c>
      <c r="J17" s="10" t="s">
        <v>12</v>
      </c>
      <c r="K17" s="10" t="s">
        <v>257</v>
      </c>
    </row>
    <row r="18" spans="1:11" x14ac:dyDescent="0.25">
      <c r="A18" s="9" t="s">
        <v>258</v>
      </c>
      <c r="B18" s="9" t="s">
        <v>75</v>
      </c>
      <c r="C18" s="9">
        <v>1</v>
      </c>
      <c r="D18" s="9" t="s">
        <v>250</v>
      </c>
      <c r="E18" s="9" t="s">
        <v>251</v>
      </c>
      <c r="F18" s="11" t="s">
        <v>219</v>
      </c>
      <c r="G18" s="9" t="s">
        <v>220</v>
      </c>
      <c r="H18" s="9" t="s">
        <v>259</v>
      </c>
      <c r="I18" s="9" t="s">
        <v>222</v>
      </c>
      <c r="J18" s="9" t="s">
        <v>12</v>
      </c>
      <c r="K18" s="9" t="s">
        <v>260</v>
      </c>
    </row>
    <row r="19" spans="1:11" x14ac:dyDescent="0.25">
      <c r="A19" s="10" t="s">
        <v>261</v>
      </c>
      <c r="B19" s="10" t="s">
        <v>56</v>
      </c>
      <c r="C19" s="10">
        <v>2</v>
      </c>
      <c r="D19" s="10" t="s">
        <v>262</v>
      </c>
      <c r="E19" s="10" t="s">
        <v>251</v>
      </c>
      <c r="F19" s="11" t="s">
        <v>219</v>
      </c>
      <c r="G19" s="10" t="s">
        <v>220</v>
      </c>
      <c r="H19" s="10" t="s">
        <v>263</v>
      </c>
      <c r="I19" s="10" t="s">
        <v>222</v>
      </c>
      <c r="J19" s="10" t="s">
        <v>253</v>
      </c>
      <c r="K19" s="10" t="s">
        <v>264</v>
      </c>
    </row>
    <row r="20" spans="1:11" x14ac:dyDescent="0.25">
      <c r="A20" s="9" t="s">
        <v>265</v>
      </c>
      <c r="B20" s="9" t="s">
        <v>68</v>
      </c>
      <c r="C20" s="9">
        <v>2</v>
      </c>
      <c r="D20" s="9" t="s">
        <v>262</v>
      </c>
      <c r="E20" s="9" t="s">
        <v>251</v>
      </c>
      <c r="F20" s="11" t="s">
        <v>219</v>
      </c>
      <c r="G20" s="9" t="s">
        <v>220</v>
      </c>
      <c r="H20" s="9" t="s">
        <v>256</v>
      </c>
      <c r="I20" s="9" t="s">
        <v>222</v>
      </c>
      <c r="J20" s="9" t="s">
        <v>12</v>
      </c>
      <c r="K20" s="9" t="s">
        <v>266</v>
      </c>
    </row>
    <row r="21" spans="1:11" x14ac:dyDescent="0.25">
      <c r="A21" s="10" t="s">
        <v>267</v>
      </c>
      <c r="B21" s="10" t="s">
        <v>75</v>
      </c>
      <c r="C21" s="10">
        <v>2</v>
      </c>
      <c r="D21" s="10" t="s">
        <v>262</v>
      </c>
      <c r="E21" s="10" t="s">
        <v>251</v>
      </c>
      <c r="F21" s="11" t="s">
        <v>219</v>
      </c>
      <c r="G21" s="10" t="s">
        <v>220</v>
      </c>
      <c r="H21" s="10" t="s">
        <v>259</v>
      </c>
      <c r="I21" s="10" t="s">
        <v>222</v>
      </c>
      <c r="J21" s="10" t="s">
        <v>12</v>
      </c>
      <c r="K21" s="10" t="s">
        <v>268</v>
      </c>
    </row>
    <row r="22" spans="1:11" x14ac:dyDescent="0.25">
      <c r="A22" s="9" t="s">
        <v>269</v>
      </c>
      <c r="B22" s="9" t="s">
        <v>56</v>
      </c>
      <c r="C22" s="9">
        <v>2</v>
      </c>
      <c r="D22" s="9" t="s">
        <v>270</v>
      </c>
      <c r="E22" s="9" t="s">
        <v>251</v>
      </c>
      <c r="F22" s="11" t="s">
        <v>219</v>
      </c>
      <c r="G22" s="9" t="s">
        <v>220</v>
      </c>
      <c r="H22" s="9" t="s">
        <v>271</v>
      </c>
      <c r="I22" s="9" t="s">
        <v>222</v>
      </c>
      <c r="J22" s="9" t="s">
        <v>12</v>
      </c>
      <c r="K22" s="9" t="s">
        <v>272</v>
      </c>
    </row>
    <row r="23" spans="1:11" x14ac:dyDescent="0.25">
      <c r="A23" s="10" t="s">
        <v>273</v>
      </c>
      <c r="B23" s="10" t="s">
        <v>68</v>
      </c>
      <c r="C23" s="10">
        <v>2</v>
      </c>
      <c r="D23" s="10" t="s">
        <v>270</v>
      </c>
      <c r="E23" s="10" t="s">
        <v>251</v>
      </c>
      <c r="F23" s="11" t="s">
        <v>219</v>
      </c>
      <c r="G23" s="10" t="s">
        <v>220</v>
      </c>
      <c r="H23" s="10" t="s">
        <v>256</v>
      </c>
      <c r="I23" s="10" t="s">
        <v>222</v>
      </c>
      <c r="J23" s="10" t="s">
        <v>12</v>
      </c>
      <c r="K23" s="10" t="s">
        <v>274</v>
      </c>
    </row>
    <row r="24" spans="1:11" x14ac:dyDescent="0.25">
      <c r="A24" s="9" t="s">
        <v>275</v>
      </c>
      <c r="B24" s="9" t="s">
        <v>75</v>
      </c>
      <c r="C24" s="9">
        <v>2</v>
      </c>
      <c r="D24" s="9" t="s">
        <v>270</v>
      </c>
      <c r="E24" s="9" t="s">
        <v>251</v>
      </c>
      <c r="F24" s="11" t="s">
        <v>219</v>
      </c>
      <c r="G24" s="9" t="s">
        <v>220</v>
      </c>
      <c r="H24" s="9" t="s">
        <v>259</v>
      </c>
      <c r="I24" s="9" t="s">
        <v>222</v>
      </c>
      <c r="J24" s="9" t="s">
        <v>12</v>
      </c>
      <c r="K24" s="9" t="s">
        <v>276</v>
      </c>
    </row>
    <row r="25" spans="1:11" x14ac:dyDescent="0.25">
      <c r="A25" s="10" t="s">
        <v>277</v>
      </c>
      <c r="B25" s="10" t="s">
        <v>56</v>
      </c>
      <c r="C25" s="10">
        <v>3</v>
      </c>
      <c r="D25" s="10" t="s">
        <v>278</v>
      </c>
      <c r="E25" s="10" t="s">
        <v>251</v>
      </c>
      <c r="F25" s="11" t="s">
        <v>219</v>
      </c>
      <c r="G25" s="10" t="s">
        <v>220</v>
      </c>
      <c r="H25" s="10" t="s">
        <v>279</v>
      </c>
      <c r="I25" s="10" t="s">
        <v>222</v>
      </c>
      <c r="J25" s="10" t="s">
        <v>280</v>
      </c>
      <c r="K25" s="10" t="s">
        <v>281</v>
      </c>
    </row>
    <row r="26" spans="1:11" x14ac:dyDescent="0.25">
      <c r="A26" s="9" t="s">
        <v>282</v>
      </c>
      <c r="B26" s="9" t="s">
        <v>68</v>
      </c>
      <c r="C26" s="9">
        <v>3</v>
      </c>
      <c r="D26" s="9" t="s">
        <v>278</v>
      </c>
      <c r="E26" s="9" t="s">
        <v>251</v>
      </c>
      <c r="F26" s="11" t="s">
        <v>219</v>
      </c>
      <c r="G26" s="9" t="s">
        <v>220</v>
      </c>
      <c r="H26" s="9" t="s">
        <v>283</v>
      </c>
      <c r="I26" s="9" t="s">
        <v>222</v>
      </c>
      <c r="J26" s="9" t="s">
        <v>280</v>
      </c>
      <c r="K26" s="9" t="s">
        <v>284</v>
      </c>
    </row>
    <row r="27" spans="1:11" x14ac:dyDescent="0.25">
      <c r="A27" s="10" t="s">
        <v>285</v>
      </c>
      <c r="B27" s="10" t="s">
        <v>75</v>
      </c>
      <c r="C27" s="10">
        <v>3</v>
      </c>
      <c r="D27" s="10" t="s">
        <v>278</v>
      </c>
      <c r="E27" s="10" t="s">
        <v>251</v>
      </c>
      <c r="F27" s="11" t="s">
        <v>219</v>
      </c>
      <c r="G27" s="10" t="s">
        <v>220</v>
      </c>
      <c r="H27" s="10" t="s">
        <v>286</v>
      </c>
      <c r="I27" s="10" t="s">
        <v>222</v>
      </c>
      <c r="J27" s="10" t="s">
        <v>280</v>
      </c>
      <c r="K27" s="10" t="s">
        <v>287</v>
      </c>
    </row>
    <row r="28" spans="1:11" x14ac:dyDescent="0.25">
      <c r="A28" s="9" t="s">
        <v>288</v>
      </c>
      <c r="B28" s="9" t="s">
        <v>82</v>
      </c>
      <c r="C28" s="9">
        <v>1</v>
      </c>
      <c r="D28" s="9" t="s">
        <v>289</v>
      </c>
      <c r="E28" s="9" t="s">
        <v>290</v>
      </c>
      <c r="F28" s="11" t="s">
        <v>219</v>
      </c>
      <c r="G28" s="9" t="s">
        <v>220</v>
      </c>
      <c r="H28" s="9" t="s">
        <v>291</v>
      </c>
      <c r="I28" s="9" t="s">
        <v>222</v>
      </c>
      <c r="J28" s="9" t="s">
        <v>12</v>
      </c>
      <c r="K28" s="9" t="s">
        <v>292</v>
      </c>
    </row>
    <row r="29" spans="1:11" x14ac:dyDescent="0.25">
      <c r="A29" s="10" t="s">
        <v>293</v>
      </c>
      <c r="B29" s="10" t="s">
        <v>92</v>
      </c>
      <c r="C29" s="10">
        <v>1</v>
      </c>
      <c r="D29" s="10" t="s">
        <v>289</v>
      </c>
      <c r="E29" s="10" t="s">
        <v>290</v>
      </c>
      <c r="F29" s="11" t="s">
        <v>219</v>
      </c>
      <c r="G29" s="10" t="s">
        <v>220</v>
      </c>
      <c r="H29" s="10" t="s">
        <v>294</v>
      </c>
      <c r="I29" s="10" t="s">
        <v>222</v>
      </c>
      <c r="J29" s="10" t="s">
        <v>295</v>
      </c>
      <c r="K29" s="10" t="s">
        <v>292</v>
      </c>
    </row>
    <row r="30" spans="1:11" x14ac:dyDescent="0.25">
      <c r="A30" s="9" t="s">
        <v>296</v>
      </c>
      <c r="B30" s="9" t="s">
        <v>100</v>
      </c>
      <c r="C30" s="9">
        <v>1</v>
      </c>
      <c r="D30" s="9" t="s">
        <v>289</v>
      </c>
      <c r="E30" s="9" t="s">
        <v>290</v>
      </c>
      <c r="F30" s="11" t="s">
        <v>219</v>
      </c>
      <c r="G30" s="9" t="s">
        <v>220</v>
      </c>
      <c r="H30" s="9" t="s">
        <v>297</v>
      </c>
      <c r="I30" s="9" t="s">
        <v>222</v>
      </c>
      <c r="J30" s="9" t="s">
        <v>12</v>
      </c>
      <c r="K30" s="9" t="s">
        <v>292</v>
      </c>
    </row>
    <row r="31" spans="1:11" x14ac:dyDescent="0.25">
      <c r="A31" s="10" t="s">
        <v>298</v>
      </c>
      <c r="B31" s="10" t="s">
        <v>106</v>
      </c>
      <c r="C31" s="10">
        <v>1</v>
      </c>
      <c r="D31" s="10" t="s">
        <v>289</v>
      </c>
      <c r="E31" s="10" t="s">
        <v>290</v>
      </c>
      <c r="F31" s="11" t="s">
        <v>219</v>
      </c>
      <c r="G31" s="10" t="s">
        <v>220</v>
      </c>
      <c r="H31" s="10" t="s">
        <v>299</v>
      </c>
      <c r="I31" s="10" t="s">
        <v>222</v>
      </c>
      <c r="J31" s="10" t="s">
        <v>12</v>
      </c>
      <c r="K31" s="10" t="s">
        <v>292</v>
      </c>
    </row>
    <row r="32" spans="1:11" x14ac:dyDescent="0.25">
      <c r="A32" s="9" t="s">
        <v>300</v>
      </c>
      <c r="B32" s="9" t="s">
        <v>111</v>
      </c>
      <c r="C32" s="9">
        <v>1</v>
      </c>
      <c r="D32" s="9" t="s">
        <v>289</v>
      </c>
      <c r="E32" s="9" t="s">
        <v>290</v>
      </c>
      <c r="F32" s="11" t="s">
        <v>219</v>
      </c>
      <c r="G32" s="9" t="s">
        <v>220</v>
      </c>
      <c r="H32" s="9" t="s">
        <v>301</v>
      </c>
      <c r="I32" s="9" t="s">
        <v>222</v>
      </c>
      <c r="J32" s="9" t="s">
        <v>12</v>
      </c>
      <c r="K32" s="9" t="s">
        <v>292</v>
      </c>
    </row>
    <row r="33" spans="1:11" x14ac:dyDescent="0.25">
      <c r="A33" s="10" t="s">
        <v>302</v>
      </c>
      <c r="B33" s="10" t="s">
        <v>116</v>
      </c>
      <c r="C33" s="10">
        <v>1</v>
      </c>
      <c r="D33" s="10" t="s">
        <v>289</v>
      </c>
      <c r="E33" s="10" t="s">
        <v>290</v>
      </c>
      <c r="F33" s="11" t="s">
        <v>219</v>
      </c>
      <c r="G33" s="10" t="s">
        <v>220</v>
      </c>
      <c r="H33" s="10" t="s">
        <v>303</v>
      </c>
      <c r="I33" s="10" t="s">
        <v>222</v>
      </c>
      <c r="J33" s="10" t="s">
        <v>12</v>
      </c>
      <c r="K33" s="10" t="s">
        <v>292</v>
      </c>
    </row>
    <row r="34" spans="1:11" x14ac:dyDescent="0.25">
      <c r="A34" s="9" t="s">
        <v>304</v>
      </c>
      <c r="B34" s="9" t="s">
        <v>120</v>
      </c>
      <c r="C34" s="9">
        <v>1</v>
      </c>
      <c r="D34" s="9" t="s">
        <v>289</v>
      </c>
      <c r="E34" s="9" t="s">
        <v>290</v>
      </c>
      <c r="F34" s="11" t="s">
        <v>219</v>
      </c>
      <c r="G34" s="9" t="s">
        <v>220</v>
      </c>
      <c r="H34" s="9" t="s">
        <v>305</v>
      </c>
      <c r="I34" s="9" t="s">
        <v>222</v>
      </c>
      <c r="J34" s="9" t="s">
        <v>12</v>
      </c>
      <c r="K34" s="9" t="s">
        <v>292</v>
      </c>
    </row>
    <row r="35" spans="1:11" x14ac:dyDescent="0.25">
      <c r="A35" s="10" t="s">
        <v>306</v>
      </c>
      <c r="B35" s="10" t="s">
        <v>125</v>
      </c>
      <c r="C35" s="10">
        <v>1</v>
      </c>
      <c r="D35" s="10" t="s">
        <v>289</v>
      </c>
      <c r="E35" s="10" t="s">
        <v>290</v>
      </c>
      <c r="F35" s="11" t="s">
        <v>219</v>
      </c>
      <c r="G35" s="10" t="s">
        <v>220</v>
      </c>
      <c r="H35" s="10" t="s">
        <v>307</v>
      </c>
      <c r="I35" s="10" t="s">
        <v>222</v>
      </c>
      <c r="J35" s="10" t="s">
        <v>12</v>
      </c>
      <c r="K35" s="10" t="s">
        <v>292</v>
      </c>
    </row>
    <row r="36" spans="1:11" x14ac:dyDescent="0.25">
      <c r="A36" s="9" t="s">
        <v>308</v>
      </c>
      <c r="B36" s="9" t="s">
        <v>131</v>
      </c>
      <c r="C36" s="9">
        <v>1</v>
      </c>
      <c r="D36" s="9" t="s">
        <v>289</v>
      </c>
      <c r="E36" s="9" t="s">
        <v>290</v>
      </c>
      <c r="F36" s="11" t="s">
        <v>219</v>
      </c>
      <c r="G36" s="9" t="s">
        <v>220</v>
      </c>
      <c r="H36" s="9" t="s">
        <v>309</v>
      </c>
      <c r="I36" s="9" t="s">
        <v>222</v>
      </c>
      <c r="J36" s="9" t="s">
        <v>12</v>
      </c>
      <c r="K36" s="9" t="s">
        <v>292</v>
      </c>
    </row>
    <row r="37" spans="1:11" x14ac:dyDescent="0.25">
      <c r="A37" s="10" t="s">
        <v>310</v>
      </c>
      <c r="B37" s="10" t="s">
        <v>137</v>
      </c>
      <c r="C37" s="10">
        <v>1</v>
      </c>
      <c r="D37" s="10" t="s">
        <v>289</v>
      </c>
      <c r="E37" s="10" t="s">
        <v>290</v>
      </c>
      <c r="F37" s="11" t="s">
        <v>219</v>
      </c>
      <c r="G37" s="10" t="s">
        <v>220</v>
      </c>
      <c r="H37" s="10" t="s">
        <v>311</v>
      </c>
      <c r="I37" s="10" t="s">
        <v>222</v>
      </c>
      <c r="J37" s="10" t="s">
        <v>12</v>
      </c>
      <c r="K37" s="10" t="s">
        <v>292</v>
      </c>
    </row>
    <row r="38" spans="1:11" x14ac:dyDescent="0.25">
      <c r="A38" s="9" t="s">
        <v>312</v>
      </c>
      <c r="B38" s="9" t="s">
        <v>143</v>
      </c>
      <c r="C38" s="9">
        <v>1</v>
      </c>
      <c r="D38" s="9" t="s">
        <v>289</v>
      </c>
      <c r="E38" s="9" t="s">
        <v>290</v>
      </c>
      <c r="F38" s="11" t="s">
        <v>219</v>
      </c>
      <c r="G38" s="9" t="s">
        <v>220</v>
      </c>
      <c r="H38" s="9" t="s">
        <v>313</v>
      </c>
      <c r="I38" s="9" t="s">
        <v>222</v>
      </c>
      <c r="J38" s="9" t="s">
        <v>12</v>
      </c>
      <c r="K38" s="9" t="s">
        <v>292</v>
      </c>
    </row>
    <row r="39" spans="1:11" x14ac:dyDescent="0.25">
      <c r="A39" s="10" t="s">
        <v>314</v>
      </c>
      <c r="B39" s="10" t="s">
        <v>151</v>
      </c>
      <c r="C39" s="10">
        <v>1</v>
      </c>
      <c r="D39" s="10" t="s">
        <v>289</v>
      </c>
      <c r="E39" s="10" t="s">
        <v>290</v>
      </c>
      <c r="F39" s="11" t="s">
        <v>219</v>
      </c>
      <c r="G39" s="10" t="s">
        <v>220</v>
      </c>
      <c r="H39" s="10" t="s">
        <v>315</v>
      </c>
      <c r="I39" s="10" t="s">
        <v>222</v>
      </c>
      <c r="J39" s="10" t="s">
        <v>12</v>
      </c>
      <c r="K39" s="10" t="s">
        <v>292</v>
      </c>
    </row>
    <row r="40" spans="1:11" x14ac:dyDescent="0.25">
      <c r="A40" s="9" t="s">
        <v>316</v>
      </c>
      <c r="B40" s="9" t="s">
        <v>158</v>
      </c>
      <c r="C40" s="9">
        <v>1</v>
      </c>
      <c r="D40" s="9" t="s">
        <v>289</v>
      </c>
      <c r="E40" s="9" t="s">
        <v>290</v>
      </c>
      <c r="F40" s="11" t="s">
        <v>219</v>
      </c>
      <c r="G40" s="9" t="s">
        <v>220</v>
      </c>
      <c r="H40" s="9" t="s">
        <v>317</v>
      </c>
      <c r="I40" s="9" t="s">
        <v>228</v>
      </c>
      <c r="J40" s="9" t="s">
        <v>318</v>
      </c>
      <c r="K40" s="9" t="s">
        <v>292</v>
      </c>
    </row>
    <row r="41" spans="1:11" x14ac:dyDescent="0.25">
      <c r="A41" s="10" t="s">
        <v>319</v>
      </c>
      <c r="B41" s="10" t="s">
        <v>82</v>
      </c>
      <c r="C41" s="10">
        <v>2</v>
      </c>
      <c r="D41" s="10" t="s">
        <v>270</v>
      </c>
      <c r="E41" s="10" t="s">
        <v>290</v>
      </c>
      <c r="F41" s="11" t="s">
        <v>219</v>
      </c>
      <c r="G41" s="10" t="s">
        <v>220</v>
      </c>
      <c r="H41" s="10" t="s">
        <v>291</v>
      </c>
      <c r="I41" s="10" t="s">
        <v>222</v>
      </c>
      <c r="J41" s="10" t="s">
        <v>12</v>
      </c>
      <c r="K41" s="10" t="s">
        <v>320</v>
      </c>
    </row>
    <row r="42" spans="1:11" x14ac:dyDescent="0.25">
      <c r="A42" s="9" t="s">
        <v>321</v>
      </c>
      <c r="B42" s="9" t="s">
        <v>92</v>
      </c>
      <c r="C42" s="9">
        <v>2</v>
      </c>
      <c r="D42" s="9" t="s">
        <v>270</v>
      </c>
      <c r="E42" s="9" t="s">
        <v>290</v>
      </c>
      <c r="F42" s="11" t="s">
        <v>219</v>
      </c>
      <c r="G42" s="9" t="s">
        <v>220</v>
      </c>
      <c r="H42" s="9" t="s">
        <v>294</v>
      </c>
      <c r="I42" s="9" t="s">
        <v>222</v>
      </c>
      <c r="J42" s="9" t="s">
        <v>295</v>
      </c>
      <c r="K42" s="9" t="s">
        <v>320</v>
      </c>
    </row>
    <row r="43" spans="1:11" x14ac:dyDescent="0.25">
      <c r="A43" s="10" t="s">
        <v>322</v>
      </c>
      <c r="B43" s="10" t="s">
        <v>100</v>
      </c>
      <c r="C43" s="10">
        <v>2</v>
      </c>
      <c r="D43" s="10" t="s">
        <v>270</v>
      </c>
      <c r="E43" s="10" t="s">
        <v>290</v>
      </c>
      <c r="F43" s="11" t="s">
        <v>219</v>
      </c>
      <c r="G43" s="10" t="s">
        <v>220</v>
      </c>
      <c r="H43" s="10" t="s">
        <v>297</v>
      </c>
      <c r="I43" s="10" t="s">
        <v>222</v>
      </c>
      <c r="J43" s="10" t="s">
        <v>12</v>
      </c>
      <c r="K43" s="10" t="s">
        <v>320</v>
      </c>
    </row>
    <row r="44" spans="1:11" x14ac:dyDescent="0.25">
      <c r="A44" s="9" t="s">
        <v>323</v>
      </c>
      <c r="B44" s="9" t="s">
        <v>106</v>
      </c>
      <c r="C44" s="9">
        <v>2</v>
      </c>
      <c r="D44" s="9" t="s">
        <v>270</v>
      </c>
      <c r="E44" s="9" t="s">
        <v>290</v>
      </c>
      <c r="F44" s="11" t="s">
        <v>219</v>
      </c>
      <c r="G44" s="9" t="s">
        <v>220</v>
      </c>
      <c r="H44" s="9" t="s">
        <v>299</v>
      </c>
      <c r="I44" s="9" t="s">
        <v>222</v>
      </c>
      <c r="J44" s="9" t="s">
        <v>12</v>
      </c>
      <c r="K44" s="9" t="s">
        <v>320</v>
      </c>
    </row>
    <row r="45" spans="1:11" x14ac:dyDescent="0.25">
      <c r="A45" s="10" t="s">
        <v>324</v>
      </c>
      <c r="B45" s="10" t="s">
        <v>111</v>
      </c>
      <c r="C45" s="10">
        <v>2</v>
      </c>
      <c r="D45" s="10" t="s">
        <v>270</v>
      </c>
      <c r="E45" s="10" t="s">
        <v>290</v>
      </c>
      <c r="F45" s="11" t="s">
        <v>219</v>
      </c>
      <c r="G45" s="10" t="s">
        <v>220</v>
      </c>
      <c r="H45" s="10" t="s">
        <v>301</v>
      </c>
      <c r="I45" s="10" t="s">
        <v>222</v>
      </c>
      <c r="J45" s="10" t="s">
        <v>12</v>
      </c>
      <c r="K45" s="10" t="s">
        <v>320</v>
      </c>
    </row>
    <row r="46" spans="1:11" x14ac:dyDescent="0.25">
      <c r="A46" s="9" t="s">
        <v>325</v>
      </c>
      <c r="B46" s="9" t="s">
        <v>116</v>
      </c>
      <c r="C46" s="9">
        <v>2</v>
      </c>
      <c r="D46" s="9" t="s">
        <v>270</v>
      </c>
      <c r="E46" s="9" t="s">
        <v>290</v>
      </c>
      <c r="F46" s="11" t="s">
        <v>219</v>
      </c>
      <c r="G46" s="9" t="s">
        <v>220</v>
      </c>
      <c r="H46" s="9" t="s">
        <v>303</v>
      </c>
      <c r="I46" s="9" t="s">
        <v>222</v>
      </c>
      <c r="J46" s="9" t="s">
        <v>12</v>
      </c>
      <c r="K46" s="9" t="s">
        <v>320</v>
      </c>
    </row>
    <row r="47" spans="1:11" x14ac:dyDescent="0.25">
      <c r="A47" s="10" t="s">
        <v>326</v>
      </c>
      <c r="B47" s="10" t="s">
        <v>120</v>
      </c>
      <c r="C47" s="10">
        <v>2</v>
      </c>
      <c r="D47" s="10" t="s">
        <v>270</v>
      </c>
      <c r="E47" s="10" t="s">
        <v>290</v>
      </c>
      <c r="F47" s="11" t="s">
        <v>219</v>
      </c>
      <c r="G47" s="10" t="s">
        <v>220</v>
      </c>
      <c r="H47" s="10" t="s">
        <v>305</v>
      </c>
      <c r="I47" s="10" t="s">
        <v>222</v>
      </c>
      <c r="J47" s="10" t="s">
        <v>12</v>
      </c>
      <c r="K47" s="10" t="s">
        <v>320</v>
      </c>
    </row>
    <row r="48" spans="1:11" x14ac:dyDescent="0.25">
      <c r="A48" s="9" t="s">
        <v>327</v>
      </c>
      <c r="B48" s="9" t="s">
        <v>125</v>
      </c>
      <c r="C48" s="9">
        <v>2</v>
      </c>
      <c r="D48" s="9" t="s">
        <v>270</v>
      </c>
      <c r="E48" s="9" t="s">
        <v>290</v>
      </c>
      <c r="F48" s="11" t="s">
        <v>219</v>
      </c>
      <c r="G48" s="9" t="s">
        <v>220</v>
      </c>
      <c r="H48" s="9" t="s">
        <v>307</v>
      </c>
      <c r="I48" s="9" t="s">
        <v>222</v>
      </c>
      <c r="J48" s="9" t="s">
        <v>12</v>
      </c>
      <c r="K48" s="9" t="s">
        <v>320</v>
      </c>
    </row>
    <row r="49" spans="1:11" x14ac:dyDescent="0.25">
      <c r="A49" s="10" t="s">
        <v>328</v>
      </c>
      <c r="B49" s="10" t="s">
        <v>131</v>
      </c>
      <c r="C49" s="10">
        <v>2</v>
      </c>
      <c r="D49" s="10" t="s">
        <v>270</v>
      </c>
      <c r="E49" s="10" t="s">
        <v>290</v>
      </c>
      <c r="F49" s="11" t="s">
        <v>219</v>
      </c>
      <c r="G49" s="10" t="s">
        <v>220</v>
      </c>
      <c r="H49" s="10" t="s">
        <v>309</v>
      </c>
      <c r="I49" s="10" t="s">
        <v>222</v>
      </c>
      <c r="J49" s="10" t="s">
        <v>12</v>
      </c>
      <c r="K49" s="10" t="s">
        <v>320</v>
      </c>
    </row>
    <row r="50" spans="1:11" x14ac:dyDescent="0.25">
      <c r="A50" s="9" t="s">
        <v>329</v>
      </c>
      <c r="B50" s="9" t="s">
        <v>137</v>
      </c>
      <c r="C50" s="9">
        <v>2</v>
      </c>
      <c r="D50" s="9" t="s">
        <v>270</v>
      </c>
      <c r="E50" s="9" t="s">
        <v>290</v>
      </c>
      <c r="F50" s="11" t="s">
        <v>219</v>
      </c>
      <c r="G50" s="9" t="s">
        <v>220</v>
      </c>
      <c r="H50" s="9" t="s">
        <v>311</v>
      </c>
      <c r="I50" s="9" t="s">
        <v>222</v>
      </c>
      <c r="J50" s="9" t="s">
        <v>12</v>
      </c>
      <c r="K50" s="9" t="s">
        <v>320</v>
      </c>
    </row>
    <row r="51" spans="1:11" x14ac:dyDescent="0.25">
      <c r="A51" s="10" t="s">
        <v>330</v>
      </c>
      <c r="B51" s="10" t="s">
        <v>143</v>
      </c>
      <c r="C51" s="10">
        <v>2</v>
      </c>
      <c r="D51" s="10" t="s">
        <v>270</v>
      </c>
      <c r="E51" s="10" t="s">
        <v>290</v>
      </c>
      <c r="F51" s="11" t="s">
        <v>219</v>
      </c>
      <c r="G51" s="10" t="s">
        <v>220</v>
      </c>
      <c r="H51" s="10" t="s">
        <v>313</v>
      </c>
      <c r="I51" s="10" t="s">
        <v>222</v>
      </c>
      <c r="J51" s="10" t="s">
        <v>12</v>
      </c>
      <c r="K51" s="10" t="s">
        <v>320</v>
      </c>
    </row>
    <row r="52" spans="1:11" x14ac:dyDescent="0.25">
      <c r="A52" s="9" t="s">
        <v>331</v>
      </c>
      <c r="B52" s="9" t="s">
        <v>151</v>
      </c>
      <c r="C52" s="9">
        <v>2</v>
      </c>
      <c r="D52" s="9" t="s">
        <v>270</v>
      </c>
      <c r="E52" s="9" t="s">
        <v>290</v>
      </c>
      <c r="F52" s="11" t="s">
        <v>219</v>
      </c>
      <c r="G52" s="9" t="s">
        <v>220</v>
      </c>
      <c r="H52" s="9" t="s">
        <v>315</v>
      </c>
      <c r="I52" s="9" t="s">
        <v>222</v>
      </c>
      <c r="J52" s="9" t="s">
        <v>12</v>
      </c>
      <c r="K52" s="9" t="s">
        <v>320</v>
      </c>
    </row>
    <row r="53" spans="1:11" x14ac:dyDescent="0.25">
      <c r="A53" s="10" t="s">
        <v>332</v>
      </c>
      <c r="B53" s="10" t="s">
        <v>158</v>
      </c>
      <c r="C53" s="10">
        <v>2</v>
      </c>
      <c r="D53" s="10" t="s">
        <v>270</v>
      </c>
      <c r="E53" s="10" t="s">
        <v>290</v>
      </c>
      <c r="F53" s="11" t="s">
        <v>219</v>
      </c>
      <c r="G53" s="10" t="s">
        <v>220</v>
      </c>
      <c r="H53" s="10" t="s">
        <v>333</v>
      </c>
      <c r="I53" s="10" t="s">
        <v>222</v>
      </c>
      <c r="J53" s="10" t="s">
        <v>318</v>
      </c>
      <c r="K53" s="10" t="s">
        <v>320</v>
      </c>
    </row>
    <row r="54" spans="1:11" x14ac:dyDescent="0.25">
      <c r="A54" s="9" t="s">
        <v>334</v>
      </c>
      <c r="B54" s="9" t="s">
        <v>82</v>
      </c>
      <c r="C54" s="9">
        <v>3</v>
      </c>
      <c r="D54" s="9" t="s">
        <v>278</v>
      </c>
      <c r="E54" s="9" t="s">
        <v>290</v>
      </c>
      <c r="F54" s="11" t="s">
        <v>219</v>
      </c>
      <c r="G54" s="9" t="s">
        <v>220</v>
      </c>
      <c r="H54" s="9" t="s">
        <v>291</v>
      </c>
      <c r="I54" s="9" t="s">
        <v>222</v>
      </c>
      <c r="J54" s="9" t="s">
        <v>280</v>
      </c>
      <c r="K54" s="9" t="s">
        <v>335</v>
      </c>
    </row>
    <row r="55" spans="1:11" x14ac:dyDescent="0.25">
      <c r="A55" s="10" t="s">
        <v>336</v>
      </c>
      <c r="B55" s="10" t="s">
        <v>92</v>
      </c>
      <c r="C55" s="10">
        <v>3</v>
      </c>
      <c r="D55" s="10" t="s">
        <v>278</v>
      </c>
      <c r="E55" s="10" t="s">
        <v>290</v>
      </c>
      <c r="F55" s="11" t="s">
        <v>219</v>
      </c>
      <c r="G55" s="10" t="s">
        <v>220</v>
      </c>
      <c r="H55" s="10" t="s">
        <v>294</v>
      </c>
      <c r="I55" s="10" t="s">
        <v>222</v>
      </c>
      <c r="J55" s="10" t="s">
        <v>280</v>
      </c>
      <c r="K55" s="10" t="s">
        <v>335</v>
      </c>
    </row>
    <row r="56" spans="1:11" x14ac:dyDescent="0.25">
      <c r="A56" s="9" t="s">
        <v>337</v>
      </c>
      <c r="B56" s="9" t="s">
        <v>100</v>
      </c>
      <c r="C56" s="9">
        <v>3</v>
      </c>
      <c r="D56" s="9" t="s">
        <v>278</v>
      </c>
      <c r="E56" s="9" t="s">
        <v>290</v>
      </c>
      <c r="F56" s="11" t="s">
        <v>219</v>
      </c>
      <c r="G56" s="9" t="s">
        <v>220</v>
      </c>
      <c r="H56" s="9" t="s">
        <v>297</v>
      </c>
      <c r="I56" s="9" t="s">
        <v>222</v>
      </c>
      <c r="J56" s="9" t="s">
        <v>280</v>
      </c>
      <c r="K56" s="9" t="s">
        <v>335</v>
      </c>
    </row>
    <row r="57" spans="1:11" x14ac:dyDescent="0.25">
      <c r="A57" s="10" t="s">
        <v>338</v>
      </c>
      <c r="B57" s="10" t="s">
        <v>106</v>
      </c>
      <c r="C57" s="10">
        <v>3</v>
      </c>
      <c r="D57" s="10" t="s">
        <v>278</v>
      </c>
      <c r="E57" s="10" t="s">
        <v>290</v>
      </c>
      <c r="F57" s="11" t="s">
        <v>219</v>
      </c>
      <c r="G57" s="10" t="s">
        <v>220</v>
      </c>
      <c r="H57" s="10" t="s">
        <v>299</v>
      </c>
      <c r="I57" s="10" t="s">
        <v>222</v>
      </c>
      <c r="J57" s="10" t="s">
        <v>280</v>
      </c>
      <c r="K57" s="10" t="s">
        <v>335</v>
      </c>
    </row>
    <row r="58" spans="1:11" x14ac:dyDescent="0.25">
      <c r="A58" s="9" t="s">
        <v>339</v>
      </c>
      <c r="B58" s="9" t="s">
        <v>111</v>
      </c>
      <c r="C58" s="9">
        <v>3</v>
      </c>
      <c r="D58" s="9" t="s">
        <v>278</v>
      </c>
      <c r="E58" s="9" t="s">
        <v>290</v>
      </c>
      <c r="F58" s="11" t="s">
        <v>219</v>
      </c>
      <c r="G58" s="9" t="s">
        <v>220</v>
      </c>
      <c r="H58" s="9" t="s">
        <v>301</v>
      </c>
      <c r="I58" s="9" t="s">
        <v>222</v>
      </c>
      <c r="J58" s="9" t="s">
        <v>280</v>
      </c>
      <c r="K58" s="9" t="s">
        <v>335</v>
      </c>
    </row>
    <row r="59" spans="1:11" x14ac:dyDescent="0.25">
      <c r="A59" s="10" t="s">
        <v>340</v>
      </c>
      <c r="B59" s="10" t="s">
        <v>116</v>
      </c>
      <c r="C59" s="10">
        <v>3</v>
      </c>
      <c r="D59" s="10" t="s">
        <v>278</v>
      </c>
      <c r="E59" s="10" t="s">
        <v>290</v>
      </c>
      <c r="F59" s="11" t="s">
        <v>219</v>
      </c>
      <c r="G59" s="10" t="s">
        <v>220</v>
      </c>
      <c r="H59" s="10" t="s">
        <v>303</v>
      </c>
      <c r="I59" s="10" t="s">
        <v>222</v>
      </c>
      <c r="J59" s="10" t="s">
        <v>280</v>
      </c>
      <c r="K59" s="10" t="s">
        <v>335</v>
      </c>
    </row>
    <row r="60" spans="1:11" x14ac:dyDescent="0.25">
      <c r="A60" s="9" t="s">
        <v>341</v>
      </c>
      <c r="B60" s="9" t="s">
        <v>120</v>
      </c>
      <c r="C60" s="9">
        <v>3</v>
      </c>
      <c r="D60" s="9" t="s">
        <v>278</v>
      </c>
      <c r="E60" s="9" t="s">
        <v>290</v>
      </c>
      <c r="F60" s="11" t="s">
        <v>219</v>
      </c>
      <c r="G60" s="9" t="s">
        <v>220</v>
      </c>
      <c r="H60" s="9" t="s">
        <v>305</v>
      </c>
      <c r="I60" s="9" t="s">
        <v>222</v>
      </c>
      <c r="J60" s="9" t="s">
        <v>280</v>
      </c>
      <c r="K60" s="9" t="s">
        <v>335</v>
      </c>
    </row>
    <row r="61" spans="1:11" x14ac:dyDescent="0.25">
      <c r="A61" s="10" t="s">
        <v>342</v>
      </c>
      <c r="B61" s="10" t="s">
        <v>125</v>
      </c>
      <c r="C61" s="10">
        <v>3</v>
      </c>
      <c r="D61" s="10" t="s">
        <v>278</v>
      </c>
      <c r="E61" s="10" t="s">
        <v>290</v>
      </c>
      <c r="F61" s="11" t="s">
        <v>219</v>
      </c>
      <c r="G61" s="10" t="s">
        <v>220</v>
      </c>
      <c r="H61" s="10" t="s">
        <v>307</v>
      </c>
      <c r="I61" s="10" t="s">
        <v>222</v>
      </c>
      <c r="J61" s="10" t="s">
        <v>280</v>
      </c>
      <c r="K61" s="10" t="s">
        <v>335</v>
      </c>
    </row>
    <row r="62" spans="1:11" x14ac:dyDescent="0.25">
      <c r="A62" s="9" t="s">
        <v>343</v>
      </c>
      <c r="B62" s="9" t="s">
        <v>131</v>
      </c>
      <c r="C62" s="9">
        <v>3</v>
      </c>
      <c r="D62" s="9" t="s">
        <v>278</v>
      </c>
      <c r="E62" s="9" t="s">
        <v>290</v>
      </c>
      <c r="F62" s="11" t="s">
        <v>219</v>
      </c>
      <c r="G62" s="9" t="s">
        <v>220</v>
      </c>
      <c r="H62" s="9" t="s">
        <v>309</v>
      </c>
      <c r="I62" s="9" t="s">
        <v>222</v>
      </c>
      <c r="J62" s="9" t="s">
        <v>280</v>
      </c>
      <c r="K62" s="9" t="s">
        <v>335</v>
      </c>
    </row>
    <row r="63" spans="1:11" x14ac:dyDescent="0.25">
      <c r="A63" s="10" t="s">
        <v>344</v>
      </c>
      <c r="B63" s="10" t="s">
        <v>137</v>
      </c>
      <c r="C63" s="10">
        <v>3</v>
      </c>
      <c r="D63" s="10" t="s">
        <v>278</v>
      </c>
      <c r="E63" s="10" t="s">
        <v>290</v>
      </c>
      <c r="F63" s="11" t="s">
        <v>219</v>
      </c>
      <c r="G63" s="10" t="s">
        <v>220</v>
      </c>
      <c r="H63" s="10" t="s">
        <v>311</v>
      </c>
      <c r="I63" s="10" t="s">
        <v>222</v>
      </c>
      <c r="J63" s="10" t="s">
        <v>280</v>
      </c>
      <c r="K63" s="10" t="s">
        <v>335</v>
      </c>
    </row>
    <row r="64" spans="1:11" x14ac:dyDescent="0.25">
      <c r="A64" s="9" t="s">
        <v>345</v>
      </c>
      <c r="B64" s="9" t="s">
        <v>143</v>
      </c>
      <c r="C64" s="9">
        <v>3</v>
      </c>
      <c r="D64" s="9" t="s">
        <v>278</v>
      </c>
      <c r="E64" s="9" t="s">
        <v>290</v>
      </c>
      <c r="F64" s="11" t="s">
        <v>219</v>
      </c>
      <c r="G64" s="9" t="s">
        <v>220</v>
      </c>
      <c r="H64" s="9" t="s">
        <v>313</v>
      </c>
      <c r="I64" s="9" t="s">
        <v>222</v>
      </c>
      <c r="J64" s="9" t="s">
        <v>280</v>
      </c>
      <c r="K64" s="9" t="s">
        <v>335</v>
      </c>
    </row>
    <row r="65" spans="1:11" x14ac:dyDescent="0.25">
      <c r="A65" s="10" t="s">
        <v>346</v>
      </c>
      <c r="B65" s="10" t="s">
        <v>151</v>
      </c>
      <c r="C65" s="10">
        <v>3</v>
      </c>
      <c r="D65" s="10" t="s">
        <v>278</v>
      </c>
      <c r="E65" s="10" t="s">
        <v>290</v>
      </c>
      <c r="F65" s="11" t="s">
        <v>219</v>
      </c>
      <c r="G65" s="10" t="s">
        <v>220</v>
      </c>
      <c r="H65" s="10" t="s">
        <v>315</v>
      </c>
      <c r="I65" s="10" t="s">
        <v>222</v>
      </c>
      <c r="J65" s="10" t="s">
        <v>280</v>
      </c>
      <c r="K65" s="10" t="s">
        <v>335</v>
      </c>
    </row>
    <row r="66" spans="1:11" x14ac:dyDescent="0.25">
      <c r="A66" s="9" t="s">
        <v>347</v>
      </c>
      <c r="B66" s="9" t="s">
        <v>158</v>
      </c>
      <c r="C66" s="9">
        <v>3</v>
      </c>
      <c r="D66" s="9" t="s">
        <v>278</v>
      </c>
      <c r="E66" s="9" t="s">
        <v>290</v>
      </c>
      <c r="F66" s="11" t="s">
        <v>219</v>
      </c>
      <c r="G66" s="9" t="s">
        <v>220</v>
      </c>
      <c r="H66" s="9" t="s">
        <v>348</v>
      </c>
      <c r="I66" s="9" t="s">
        <v>222</v>
      </c>
      <c r="J66" s="9" t="s">
        <v>280</v>
      </c>
      <c r="K66" s="9" t="s">
        <v>335</v>
      </c>
    </row>
  </sheetData>
  <autoFilter ref="A3:K66"/>
  <conditionalFormatting sqref="I4:I66">
    <cfRule type="containsText" dxfId="0" priority="1">
      <formula>NOT(ISERROR(SEARCH("Aprobado",I4)))</formula>
    </cfRule>
    <cfRule type="containsText" dxfId="1" priority="2">
      <formula>NOT(ISERROR(SEARCH("Cerrado",I4)))</formula>
    </cfRule>
    <cfRule type="containsText" dxfId="2" priority="3">
      <formula>NOT(ISERROR(SEARCH("Fallido",I4)))</formula>
    </cfRule>
    <cfRule type="containsText" dxfId="3" priority="4">
      <formula>NOT(ISERROR(SEARCH("Abierto",I4)))</formula>
    </cfRule>
    <cfRule type="containsText" dxfId="4" priority="5">
      <formula>NOT(ISERROR(SEARCH("Diferido",I4)))</formula>
    </cfRule>
  </conditionalFormatting>
  <dataValidations count="2">
    <dataValidation type="list" allowBlank="1" showErrorMessage="1" errorTitle="Valor no válido" error="Use: Aprobado, Fallido, Bloqueado" sqref="I10:I66">
      <formula1>"Aprobado,Fallido,Bloqueado"</formula1>
    </dataValidation>
    <dataValidation type="list" allowBlank="1" showErrorMessage="1" errorTitle="Valor no válido" error="Use: Aprobado, Fallido, Bloqueado" sqref="I4:I66">
      <formula1>"Aprobado,Fallido,Bloqueado"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2" max="2" width="34" customWidth="1"/>
    <col min="3" max="3" width="48" customWidth="1"/>
    <col min="4" max="4" width="34" customWidth="1"/>
    <col min="5" max="5" width="28" customWidth="1"/>
    <col min="6" max="6" width="30" customWidth="1"/>
    <col min="7" max="8" width="10" customWidth="1"/>
    <col min="9" max="9" width="26" customWidth="1"/>
    <col min="10" max="10" width="18" customWidth="1"/>
    <col min="11" max="11" width="12" customWidth="1"/>
    <col min="12" max="12" width="40" customWidth="1"/>
    <col min="13" max="13" width="12" customWidth="1"/>
    <col min="14" max="14" width="16" customWidth="1"/>
    <col min="15" max="15" width="11" customWidth="1"/>
  </cols>
  <sheetData>
    <row r="1" spans="1:1" x14ac:dyDescent="0.25">
      <c r="A1" s="1" t="s">
        <v>349</v>
      </c>
    </row>
    <row r="2" spans="1:1" x14ac:dyDescent="0.25">
      <c r="A2" s="2" t="s">
        <v>350</v>
      </c>
    </row>
    <row r="3" ht="32" customHeight="1" spans="1:15" x14ac:dyDescent="0.25">
      <c r="A3" s="8" t="s">
        <v>45</v>
      </c>
      <c r="B3" s="8" t="s">
        <v>47</v>
      </c>
      <c r="C3" s="8" t="s">
        <v>351</v>
      </c>
      <c r="D3" s="8" t="s">
        <v>352</v>
      </c>
      <c r="E3" s="8" t="s">
        <v>54</v>
      </c>
      <c r="F3" s="8" t="s">
        <v>212</v>
      </c>
      <c r="G3" s="8" t="s">
        <v>353</v>
      </c>
      <c r="H3" s="8" t="s">
        <v>15</v>
      </c>
      <c r="I3" s="8" t="s">
        <v>354</v>
      </c>
      <c r="J3" s="8" t="s">
        <v>355</v>
      </c>
      <c r="K3" s="8" t="s">
        <v>356</v>
      </c>
      <c r="L3" s="8" t="s">
        <v>357</v>
      </c>
      <c r="M3" s="8" t="s">
        <v>358</v>
      </c>
      <c r="N3" s="8" t="s">
        <v>210</v>
      </c>
      <c r="O3" s="8" t="s">
        <v>213</v>
      </c>
    </row>
    <row r="4" spans="1:15" x14ac:dyDescent="0.25">
      <c r="A4" s="9" t="s">
        <v>295</v>
      </c>
      <c r="B4" s="9" t="s">
        <v>359</v>
      </c>
      <c r="C4" s="9" t="s">
        <v>360</v>
      </c>
      <c r="D4" s="9" t="s">
        <v>361</v>
      </c>
      <c r="E4" s="9" t="s">
        <v>362</v>
      </c>
      <c r="F4" s="9" t="s">
        <v>363</v>
      </c>
      <c r="G4" s="9" t="s">
        <v>96</v>
      </c>
      <c r="H4" s="9" t="s">
        <v>61</v>
      </c>
      <c r="I4" s="9" t="s">
        <v>364</v>
      </c>
      <c r="J4" s="9" t="s">
        <v>92</v>
      </c>
      <c r="K4" s="9" t="s">
        <v>365</v>
      </c>
      <c r="L4" s="9" t="s">
        <v>366</v>
      </c>
      <c r="M4" s="9" t="s">
        <v>365</v>
      </c>
      <c r="N4" s="11" t="s">
        <v>367</v>
      </c>
      <c r="O4" s="9" t="s">
        <v>368</v>
      </c>
    </row>
    <row r="5" spans="1:15" x14ac:dyDescent="0.25">
      <c r="A5" s="10" t="s">
        <v>369</v>
      </c>
      <c r="B5" s="10" t="s">
        <v>370</v>
      </c>
      <c r="C5" s="10" t="s">
        <v>371</v>
      </c>
      <c r="D5" s="10" t="s">
        <v>372</v>
      </c>
      <c r="E5" s="10" t="s">
        <v>373</v>
      </c>
      <c r="F5" s="10" t="s">
        <v>374</v>
      </c>
      <c r="G5" s="10" t="s">
        <v>61</v>
      </c>
      <c r="H5" s="10" t="s">
        <v>61</v>
      </c>
      <c r="I5" s="10" t="s">
        <v>375</v>
      </c>
      <c r="J5" s="10" t="s">
        <v>376</v>
      </c>
      <c r="K5" s="10" t="s">
        <v>365</v>
      </c>
      <c r="L5" s="10" t="s">
        <v>377</v>
      </c>
      <c r="M5" s="10" t="s">
        <v>365</v>
      </c>
      <c r="N5" s="11" t="s">
        <v>367</v>
      </c>
      <c r="O5" s="10" t="s">
        <v>368</v>
      </c>
    </row>
    <row r="6" spans="1:15" x14ac:dyDescent="0.25">
      <c r="A6" s="9" t="s">
        <v>378</v>
      </c>
      <c r="B6" s="9" t="s">
        <v>379</v>
      </c>
      <c r="C6" s="9" t="s">
        <v>380</v>
      </c>
      <c r="D6" s="9" t="s">
        <v>381</v>
      </c>
      <c r="E6" s="9" t="s">
        <v>382</v>
      </c>
      <c r="F6" s="9" t="s">
        <v>383</v>
      </c>
      <c r="G6" s="9" t="s">
        <v>96</v>
      </c>
      <c r="H6" s="9" t="s">
        <v>61</v>
      </c>
      <c r="I6" s="9" t="s">
        <v>375</v>
      </c>
      <c r="J6" s="9" t="s">
        <v>384</v>
      </c>
      <c r="K6" s="9" t="s">
        <v>365</v>
      </c>
      <c r="L6" s="9" t="s">
        <v>385</v>
      </c>
      <c r="M6" s="9" t="s">
        <v>365</v>
      </c>
      <c r="N6" s="11" t="s">
        <v>367</v>
      </c>
      <c r="O6" s="9" t="s">
        <v>368</v>
      </c>
    </row>
    <row r="7" spans="1:15" x14ac:dyDescent="0.25">
      <c r="A7" s="10" t="s">
        <v>232</v>
      </c>
      <c r="B7" s="10" t="s">
        <v>386</v>
      </c>
      <c r="C7" s="10" t="s">
        <v>387</v>
      </c>
      <c r="D7" s="10" t="s">
        <v>388</v>
      </c>
      <c r="E7" s="10" t="s">
        <v>389</v>
      </c>
      <c r="F7" s="10" t="s">
        <v>390</v>
      </c>
      <c r="G7" s="10" t="s">
        <v>96</v>
      </c>
      <c r="H7" s="10" t="s">
        <v>96</v>
      </c>
      <c r="I7" s="10" t="s">
        <v>391</v>
      </c>
      <c r="J7" s="10" t="s">
        <v>187</v>
      </c>
      <c r="K7" s="10" t="s">
        <v>365</v>
      </c>
      <c r="L7" s="10" t="s">
        <v>392</v>
      </c>
      <c r="M7" s="10" t="s">
        <v>365</v>
      </c>
      <c r="N7" s="11" t="s">
        <v>367</v>
      </c>
      <c r="O7" s="10" t="s">
        <v>368</v>
      </c>
    </row>
    <row r="8" spans="1:15" x14ac:dyDescent="0.25">
      <c r="A8" s="9" t="s">
        <v>393</v>
      </c>
      <c r="B8" s="9" t="s">
        <v>394</v>
      </c>
      <c r="C8" s="9" t="s">
        <v>395</v>
      </c>
      <c r="D8" s="9" t="s">
        <v>396</v>
      </c>
      <c r="E8" s="9" t="s">
        <v>389</v>
      </c>
      <c r="F8" s="9" t="s">
        <v>390</v>
      </c>
      <c r="G8" s="9" t="s">
        <v>96</v>
      </c>
      <c r="H8" s="9" t="s">
        <v>96</v>
      </c>
      <c r="I8" s="9" t="s">
        <v>397</v>
      </c>
      <c r="J8" s="9" t="s">
        <v>182</v>
      </c>
      <c r="K8" s="9" t="s">
        <v>365</v>
      </c>
      <c r="L8" s="9" t="s">
        <v>398</v>
      </c>
      <c r="M8" s="9" t="s">
        <v>365</v>
      </c>
      <c r="N8" s="11" t="s">
        <v>367</v>
      </c>
      <c r="O8" s="9" t="s">
        <v>368</v>
      </c>
    </row>
    <row r="9" spans="1:15" x14ac:dyDescent="0.25">
      <c r="A9" s="10" t="s">
        <v>399</v>
      </c>
      <c r="B9" s="10" t="s">
        <v>400</v>
      </c>
      <c r="C9" s="10" t="s">
        <v>401</v>
      </c>
      <c r="D9" s="10" t="s">
        <v>402</v>
      </c>
      <c r="E9" s="10" t="s">
        <v>389</v>
      </c>
      <c r="F9" s="10" t="s">
        <v>403</v>
      </c>
      <c r="G9" s="10" t="s">
        <v>96</v>
      </c>
      <c r="H9" s="10" t="s">
        <v>96</v>
      </c>
      <c r="I9" s="10" t="s">
        <v>397</v>
      </c>
      <c r="J9" s="10" t="s">
        <v>182</v>
      </c>
      <c r="K9" s="10" t="s">
        <v>365</v>
      </c>
      <c r="L9" s="10" t="s">
        <v>404</v>
      </c>
      <c r="M9" s="10" t="s">
        <v>365</v>
      </c>
      <c r="N9" s="11" t="s">
        <v>367</v>
      </c>
      <c r="O9" s="10" t="s">
        <v>368</v>
      </c>
    </row>
    <row r="10" spans="1:15" x14ac:dyDescent="0.25">
      <c r="A10" s="9" t="s">
        <v>235</v>
      </c>
      <c r="B10" s="9" t="s">
        <v>405</v>
      </c>
      <c r="C10" s="9" t="s">
        <v>406</v>
      </c>
      <c r="D10" s="9" t="s">
        <v>407</v>
      </c>
      <c r="E10" s="9" t="s">
        <v>408</v>
      </c>
      <c r="F10" s="9" t="s">
        <v>409</v>
      </c>
      <c r="G10" s="9" t="s">
        <v>195</v>
      </c>
      <c r="H10" s="9" t="s">
        <v>195</v>
      </c>
      <c r="I10" s="9" t="s">
        <v>410</v>
      </c>
      <c r="J10" s="9" t="s">
        <v>192</v>
      </c>
      <c r="K10" s="9" t="s">
        <v>365</v>
      </c>
      <c r="L10" s="9" t="s">
        <v>411</v>
      </c>
      <c r="M10" s="9" t="s">
        <v>365</v>
      </c>
      <c r="N10" s="11" t="s">
        <v>367</v>
      </c>
      <c r="O10" s="9" t="s">
        <v>368</v>
      </c>
    </row>
    <row r="11" spans="1:15" x14ac:dyDescent="0.25">
      <c r="A11" s="10" t="s">
        <v>253</v>
      </c>
      <c r="B11" s="10" t="s">
        <v>412</v>
      </c>
      <c r="C11" s="10" t="s">
        <v>413</v>
      </c>
      <c r="D11" s="10" t="s">
        <v>414</v>
      </c>
      <c r="E11" s="10" t="s">
        <v>415</v>
      </c>
      <c r="F11" s="10" t="s">
        <v>416</v>
      </c>
      <c r="G11" s="10" t="s">
        <v>96</v>
      </c>
      <c r="H11" s="10" t="s">
        <v>96</v>
      </c>
      <c r="I11" s="10" t="s">
        <v>417</v>
      </c>
      <c r="J11" s="10" t="s">
        <v>56</v>
      </c>
      <c r="K11" s="10" t="s">
        <v>418</v>
      </c>
      <c r="L11" s="10" t="s">
        <v>419</v>
      </c>
      <c r="M11" s="10" t="s">
        <v>418</v>
      </c>
      <c r="N11" s="11" t="s">
        <v>367</v>
      </c>
      <c r="O11" s="10" t="s">
        <v>368</v>
      </c>
    </row>
    <row r="12" spans="1:15" x14ac:dyDescent="0.25">
      <c r="A12" s="9" t="s">
        <v>318</v>
      </c>
      <c r="B12" s="9" t="s">
        <v>420</v>
      </c>
      <c r="C12" s="9" t="s">
        <v>421</v>
      </c>
      <c r="D12" s="9" t="s">
        <v>422</v>
      </c>
      <c r="E12" s="9" t="s">
        <v>423</v>
      </c>
      <c r="F12" s="9" t="s">
        <v>424</v>
      </c>
      <c r="G12" s="9" t="s">
        <v>96</v>
      </c>
      <c r="H12" s="9" t="s">
        <v>61</v>
      </c>
      <c r="I12" s="9" t="s">
        <v>425</v>
      </c>
      <c r="J12" s="9" t="s">
        <v>158</v>
      </c>
      <c r="K12" s="9" t="s">
        <v>418</v>
      </c>
      <c r="L12" s="9" t="s">
        <v>426</v>
      </c>
      <c r="M12" s="9" t="s">
        <v>418</v>
      </c>
      <c r="N12" s="11" t="s">
        <v>367</v>
      </c>
      <c r="O12" s="9" t="s">
        <v>368</v>
      </c>
    </row>
    <row r="13" spans="1:15" x14ac:dyDescent="0.25">
      <c r="A13" s="10" t="s">
        <v>280</v>
      </c>
      <c r="B13" s="10" t="s">
        <v>427</v>
      </c>
      <c r="C13" s="10" t="s">
        <v>428</v>
      </c>
      <c r="D13" s="10" t="s">
        <v>429</v>
      </c>
      <c r="E13" s="10" t="s">
        <v>430</v>
      </c>
      <c r="F13" s="10" t="s">
        <v>431</v>
      </c>
      <c r="G13" s="10" t="s">
        <v>61</v>
      </c>
      <c r="H13" s="10" t="s">
        <v>61</v>
      </c>
      <c r="I13" s="10" t="s">
        <v>432</v>
      </c>
      <c r="J13" s="10" t="s">
        <v>433</v>
      </c>
      <c r="K13" s="10" t="s">
        <v>365</v>
      </c>
      <c r="L13" s="10" t="s">
        <v>434</v>
      </c>
      <c r="M13" s="10" t="s">
        <v>435</v>
      </c>
      <c r="N13" s="11" t="s">
        <v>367</v>
      </c>
      <c r="O13" s="10" t="s">
        <v>368</v>
      </c>
    </row>
    <row r="14" spans="1:15" x14ac:dyDescent="0.25">
      <c r="A14" s="9" t="s">
        <v>436</v>
      </c>
      <c r="B14" s="9" t="s">
        <v>437</v>
      </c>
      <c r="C14" s="9" t="s">
        <v>438</v>
      </c>
      <c r="D14" s="9" t="s">
        <v>439</v>
      </c>
      <c r="E14" s="9" t="s">
        <v>440</v>
      </c>
      <c r="F14" s="9" t="s">
        <v>441</v>
      </c>
      <c r="G14" s="9" t="s">
        <v>61</v>
      </c>
      <c r="H14" s="9" t="s">
        <v>96</v>
      </c>
      <c r="I14" s="9" t="s">
        <v>442</v>
      </c>
      <c r="J14" s="9" t="s">
        <v>443</v>
      </c>
      <c r="K14" s="9" t="s">
        <v>365</v>
      </c>
      <c r="L14" s="9" t="s">
        <v>444</v>
      </c>
      <c r="M14" s="9" t="s">
        <v>12</v>
      </c>
      <c r="N14" s="11" t="s">
        <v>367</v>
      </c>
      <c r="O14" s="9" t="s">
        <v>445</v>
      </c>
    </row>
    <row r="15" spans="1:15" x14ac:dyDescent="0.25">
      <c r="A15" s="10" t="s">
        <v>446</v>
      </c>
      <c r="B15" s="10" t="s">
        <v>447</v>
      </c>
      <c r="C15" s="10" t="s">
        <v>448</v>
      </c>
      <c r="D15" s="10" t="s">
        <v>449</v>
      </c>
      <c r="E15" s="10" t="s">
        <v>450</v>
      </c>
      <c r="F15" s="10" t="s">
        <v>451</v>
      </c>
      <c r="G15" s="10" t="s">
        <v>96</v>
      </c>
      <c r="H15" s="10" t="s">
        <v>96</v>
      </c>
      <c r="I15" s="10" t="s">
        <v>452</v>
      </c>
      <c r="J15" s="10" t="s">
        <v>443</v>
      </c>
      <c r="K15" s="10" t="s">
        <v>365</v>
      </c>
      <c r="L15" s="10" t="s">
        <v>444</v>
      </c>
      <c r="M15" s="10" t="s">
        <v>12</v>
      </c>
      <c r="N15" s="11" t="s">
        <v>367</v>
      </c>
      <c r="O15" s="10" t="s">
        <v>445</v>
      </c>
    </row>
    <row r="16" spans="1:15" x14ac:dyDescent="0.25">
      <c r="A16" s="9" t="s">
        <v>453</v>
      </c>
      <c r="B16" s="9" t="s">
        <v>454</v>
      </c>
      <c r="C16" s="9" t="s">
        <v>455</v>
      </c>
      <c r="D16" s="9" t="s">
        <v>456</v>
      </c>
      <c r="E16" s="9" t="s">
        <v>457</v>
      </c>
      <c r="F16" s="9" t="s">
        <v>458</v>
      </c>
      <c r="G16" s="9" t="s">
        <v>96</v>
      </c>
      <c r="H16" s="9" t="s">
        <v>96</v>
      </c>
      <c r="I16" s="9" t="s">
        <v>452</v>
      </c>
      <c r="J16" s="9" t="s">
        <v>459</v>
      </c>
      <c r="K16" s="9" t="s">
        <v>365</v>
      </c>
      <c r="L16" s="9" t="s">
        <v>460</v>
      </c>
      <c r="M16" s="9" t="s">
        <v>12</v>
      </c>
      <c r="N16" s="11" t="s">
        <v>367</v>
      </c>
      <c r="O16" s="9" t="s">
        <v>445</v>
      </c>
    </row>
    <row r="17" spans="1:15" x14ac:dyDescent="0.25">
      <c r="A17" s="10" t="s">
        <v>461</v>
      </c>
      <c r="B17" s="10" t="s">
        <v>462</v>
      </c>
      <c r="C17" s="10" t="s">
        <v>463</v>
      </c>
      <c r="D17" s="10" t="s">
        <v>464</v>
      </c>
      <c r="E17" s="10" t="s">
        <v>465</v>
      </c>
      <c r="F17" s="10" t="s">
        <v>466</v>
      </c>
      <c r="G17" s="10" t="s">
        <v>61</v>
      </c>
      <c r="H17" s="10" t="s">
        <v>61</v>
      </c>
      <c r="I17" s="10" t="s">
        <v>452</v>
      </c>
      <c r="J17" s="10" t="s">
        <v>467</v>
      </c>
      <c r="K17" s="10" t="s">
        <v>365</v>
      </c>
      <c r="L17" s="10" t="s">
        <v>468</v>
      </c>
      <c r="M17" s="10" t="s">
        <v>12</v>
      </c>
      <c r="N17" s="11" t="s">
        <v>367</v>
      </c>
      <c r="O17" s="10" t="s">
        <v>445</v>
      </c>
    </row>
  </sheetData>
  <autoFilter ref="A3:O17"/>
  <conditionalFormatting sqref="O4:O17">
    <cfRule type="containsText" dxfId="5" priority="1">
      <formula>NOT(ISERROR(SEARCH("Aprobado",O4)))</formula>
    </cfRule>
    <cfRule type="containsText" dxfId="6" priority="2">
      <formula>NOT(ISERROR(SEARCH("Cerrado",O4)))</formula>
    </cfRule>
    <cfRule type="containsText" dxfId="7" priority="3">
      <formula>NOT(ISERROR(SEARCH("Fallido",O4)))</formula>
    </cfRule>
    <cfRule type="containsText" dxfId="8" priority="4">
      <formula>NOT(ISERROR(SEARCH("Abierto",O4)))</formula>
    </cfRule>
    <cfRule type="containsText" dxfId="9" priority="5">
      <formula>NOT(ISERROR(SEARCH("Diferido",O4)))</formula>
    </cfRule>
  </conditionalFormatting>
  <dataValidations count="4">
    <dataValidation type="list" allowBlank="1" showErrorMessage="1" errorTitle="Valor no válido" error="Use: Alta, Media, Baja" sqref="G10:H17">
      <formula1>"Alta,Media,Baja"</formula1>
    </dataValidation>
    <dataValidation type="list" allowBlank="1" showErrorMessage="1" errorTitle="Valor no válido" error="Use: Alta, Media, Baja" sqref="G4:H17">
      <formula1>"Alta,Media,Baja"</formula1>
    </dataValidation>
    <dataValidation type="list" allowBlank="1" showErrorMessage="1" errorTitle="Valor no válido" error="Use: Abierto, Corregido, Cerrado, Diferido" sqref="O10:O17">
      <formula1>"Abierto,Corregido,Cerrado,Diferido"</formula1>
    </dataValidation>
    <dataValidation type="list" allowBlank="1" showErrorMessage="1" errorTitle="Valor no válido" error="Use: Abierto, Corregido, Cerrado, Diferido" sqref="O4:O17">
      <formula1>"Abierto,Corregido,Cerrado,Diferido"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1" width="44" customWidth="1"/>
    <col min="2" max="5" width="14" customWidth="1"/>
    <col min="6" max="6" width="50" customWidth="1"/>
  </cols>
  <sheetData>
    <row r="1" spans="1:1" x14ac:dyDescent="0.25">
      <c r="A1" s="1" t="s">
        <v>469</v>
      </c>
    </row>
    <row r="2" spans="1:1" x14ac:dyDescent="0.25">
      <c r="A2" s="2" t="s">
        <v>470</v>
      </c>
    </row>
    <row r="4" spans="1:6" x14ac:dyDescent="0.25">
      <c r="A4" s="12" t="s">
        <v>471</v>
      </c>
      <c r="B4" s="12" t="s">
        <v>472</v>
      </c>
      <c r="C4" s="12" t="s">
        <v>12</v>
      </c>
      <c r="D4" s="12" t="s">
        <v>12</v>
      </c>
      <c r="E4" s="12" t="s">
        <v>12</v>
      </c>
      <c r="F4" s="12" t="s">
        <v>12</v>
      </c>
    </row>
    <row r="5" spans="1:6" x14ac:dyDescent="0.25">
      <c r="A5" s="13" t="s">
        <v>473</v>
      </c>
      <c r="B5" s="14">
        <f>COUNTA('Casos de Prueba'!$A$4:$A$25)</f>
        <v>22</v>
      </c>
      <c r="F5" s="2" t="s">
        <v>12</v>
      </c>
    </row>
    <row r="6" spans="1:6" x14ac:dyDescent="0.25">
      <c r="A6" s="13" t="s">
        <v>474</v>
      </c>
      <c r="B6" s="14">
        <f>COUNTIF('Casos de Prueba'!$F$4:$F$25,"Alta")</f>
        <v>12</v>
      </c>
      <c r="F6" s="2" t="s">
        <v>12</v>
      </c>
    </row>
    <row r="7" spans="1:6" x14ac:dyDescent="0.25">
      <c r="A7" s="13" t="s">
        <v>475</v>
      </c>
      <c r="B7" s="14">
        <f>COUNTIF('Casos de Prueba'!$F$4:$F$25,"Media")</f>
        <v>9</v>
      </c>
      <c r="F7" s="2" t="s">
        <v>12</v>
      </c>
    </row>
    <row r="8" spans="1:6" x14ac:dyDescent="0.25">
      <c r="A8" s="13" t="s">
        <v>476</v>
      </c>
      <c r="B8" s="14">
        <f>COUNTIF('Casos de Prueba'!$F$4:$F$25,"Baja")</f>
        <v>1</v>
      </c>
      <c r="F8" s="2" t="s">
        <v>12</v>
      </c>
    </row>
    <row r="9" spans="1:6" x14ac:dyDescent="0.25">
      <c r="A9" s="13" t="s">
        <v>477</v>
      </c>
      <c r="B9" s="14">
        <f>COUNTIF('Casos de Prueba'!$D$4:$D$25,"Funcional E2E")</f>
        <v>3</v>
      </c>
      <c r="F9" s="2" t="s">
        <v>12</v>
      </c>
    </row>
    <row r="10" spans="1:6" x14ac:dyDescent="0.25">
      <c r="A10" s="13" t="s">
        <v>478</v>
      </c>
      <c r="B10" s="14">
        <f>COUNTIF('Casos de Prueba'!$D$4:$D$25,"API")</f>
        <v>13</v>
      </c>
      <c r="F10" s="2" t="s">
        <v>12</v>
      </c>
    </row>
    <row r="11" spans="1:6" x14ac:dyDescent="0.25">
      <c r="A11" s="13" t="s">
        <v>479</v>
      </c>
      <c r="B11" s="14">
        <f>COUNTIF('Casos de Prueba'!$D$4:$D$25,"Unitaria")</f>
        <v>6</v>
      </c>
      <c r="F11" s="2" t="s">
        <v>12</v>
      </c>
    </row>
    <row r="13" spans="1:5" x14ac:dyDescent="0.25">
      <c r="A13" s="12" t="s">
        <v>480</v>
      </c>
      <c r="B13" s="12" t="s">
        <v>481</v>
      </c>
      <c r="C13" s="12" t="s">
        <v>482</v>
      </c>
      <c r="D13" s="12" t="s">
        <v>483</v>
      </c>
      <c r="E13" s="12" t="s">
        <v>472</v>
      </c>
    </row>
    <row r="14" spans="1:6" x14ac:dyDescent="0.25">
      <c r="A14" s="13" t="s">
        <v>484</v>
      </c>
      <c r="B14" s="14">
        <f>COUNTIF('Ejecución'!$C$4:$C$66,1)</f>
        <v>22</v>
      </c>
      <c r="C14" s="14">
        <f>COUNTIF('Ejecución'!$C$4:$C$66,2)</f>
        <v>25</v>
      </c>
      <c r="D14" s="14">
        <f>COUNTIF('Ejecución'!$C$4:$C$66,3)</f>
        <v>16</v>
      </c>
      <c r="E14" s="14">
        <f>COUNTA('Ejecución'!$A$4:$A$66)</f>
        <v>63</v>
      </c>
      <c r="F14" s="2" t="s">
        <v>12</v>
      </c>
    </row>
    <row r="15" spans="1:6" x14ac:dyDescent="0.25">
      <c r="A15" s="13" t="s">
        <v>485</v>
      </c>
      <c r="B15" s="14">
        <f>COUNTIFS('Ejecución'!$C$4:$C$66,1,'Ejecución'!$I$4:$I$66,"Aprobado")</f>
        <v>18</v>
      </c>
      <c r="C15" s="14">
        <f>COUNTIFS('Ejecución'!$C$4:$C$66,2,'Ejecución'!$I$4:$I$66,"Aprobado")</f>
        <v>25</v>
      </c>
      <c r="D15" s="14">
        <f>COUNTIFS('Ejecución'!$C$4:$C$66,3,'Ejecución'!$I$4:$I$66,"Aprobado")</f>
        <v>16</v>
      </c>
      <c r="E15" s="14">
        <f>COUNTIF('Ejecución'!$I$4:$I$66,"Aprobado")</f>
        <v>59</v>
      </c>
      <c r="F15" s="2" t="s">
        <v>12</v>
      </c>
    </row>
    <row r="16" spans="1:6" x14ac:dyDescent="0.25">
      <c r="A16" s="13" t="s">
        <v>486</v>
      </c>
      <c r="B16" s="14">
        <f>COUNTIFS('Ejecución'!$C$4:$C$66,1,'Ejecución'!$I$4:$I$66,"Fallido")</f>
        <v>4</v>
      </c>
      <c r="C16" s="14">
        <f>COUNTIFS('Ejecución'!$C$4:$C$66,2,'Ejecución'!$I$4:$I$66,"Fallido")</f>
        <v>0</v>
      </c>
      <c r="D16" s="14">
        <f>COUNTIFS('Ejecución'!$C$4:$C$66,3,'Ejecución'!$I$4:$I$66,"Fallido")</f>
        <v>0</v>
      </c>
      <c r="E16" s="14">
        <f>COUNTIF('Ejecución'!$I$4:$I$66,"Fallido")</f>
        <v>4</v>
      </c>
      <c r="F16" s="2" t="s">
        <v>12</v>
      </c>
    </row>
    <row r="17" spans="1:6" x14ac:dyDescent="0.25">
      <c r="A17" s="13" t="s">
        <v>487</v>
      </c>
      <c r="B17" s="14">
        <f>COUNTIFS('Ejecución'!$C$4:$C$66,1,'Ejecución'!$I$4:$I$66,"Bloqueado")</f>
        <v>0</v>
      </c>
      <c r="C17" s="14">
        <f>COUNTIFS('Ejecución'!$C$4:$C$66,2,'Ejecución'!$I$4:$I$66,"Bloqueado")</f>
        <v>0</v>
      </c>
      <c r="D17" s="14">
        <f>COUNTIFS('Ejecución'!$C$4:$C$66,3,'Ejecución'!$I$4:$I$66,"Bloqueado")</f>
        <v>0</v>
      </c>
      <c r="E17" s="14">
        <f>COUNTIF('Ejecución'!$I$4:$I$66,"Bloqueado")</f>
        <v>0</v>
      </c>
      <c r="F17" s="2" t="s">
        <v>12</v>
      </c>
    </row>
    <row r="18" spans="1:6" x14ac:dyDescent="0.25">
      <c r="A18" s="13" t="s">
        <v>488</v>
      </c>
      <c r="B18" s="15">
        <f>IFERROR(B15/B14,0)</f>
        <v>0.8181818181818182</v>
      </c>
      <c r="C18" s="15">
        <f>IFERROR(C15/C14,0)</f>
        <v>1</v>
      </c>
      <c r="D18" s="15">
        <f>IFERROR(D15/D14,0)</f>
        <v>1</v>
      </c>
      <c r="E18" s="15">
        <f>IFERROR(E15/E14,0)</f>
        <v>0.9365079365079365</v>
      </c>
      <c r="F18" s="2" t="s">
        <v>489</v>
      </c>
    </row>
    <row r="20" spans="1:6" x14ac:dyDescent="0.25">
      <c r="A20" s="12" t="s">
        <v>490</v>
      </c>
      <c r="B20" s="12" t="s">
        <v>472</v>
      </c>
      <c r="C20" s="12" t="s">
        <v>12</v>
      </c>
      <c r="D20" s="12" t="s">
        <v>12</v>
      </c>
      <c r="E20" s="12" t="s">
        <v>12</v>
      </c>
      <c r="F20" s="12" t="s">
        <v>12</v>
      </c>
    </row>
    <row r="21" spans="1:6" x14ac:dyDescent="0.25">
      <c r="A21" s="13" t="s">
        <v>491</v>
      </c>
      <c r="B21" s="14">
        <f>COUNTA('Defectos'!$A$4:$A$17)</f>
        <v>14</v>
      </c>
      <c r="F21" s="2" t="s">
        <v>12</v>
      </c>
    </row>
    <row r="22" spans="1:6" x14ac:dyDescent="0.25">
      <c r="A22" s="13" t="s">
        <v>492</v>
      </c>
      <c r="B22" s="14">
        <f>COUNTIF('Defectos'!$G$4:$G$17,"Alta")</f>
        <v>4</v>
      </c>
      <c r="F22" s="2" t="s">
        <v>12</v>
      </c>
    </row>
    <row r="23" spans="1:6" x14ac:dyDescent="0.25">
      <c r="A23" s="13" t="s">
        <v>493</v>
      </c>
      <c r="B23" s="14">
        <f>COUNTIF('Defectos'!$G$4:$G$17,"Media")</f>
        <v>9</v>
      </c>
      <c r="F23" s="2" t="s">
        <v>12</v>
      </c>
    </row>
    <row r="24" spans="1:6" x14ac:dyDescent="0.25">
      <c r="A24" s="13" t="s">
        <v>494</v>
      </c>
      <c r="B24" s="14">
        <f>COUNTIF('Defectos'!$G$4:$G$17,"Baja")</f>
        <v>1</v>
      </c>
      <c r="F24" s="2" t="s">
        <v>12</v>
      </c>
    </row>
    <row r="25" spans="1:6" x14ac:dyDescent="0.25">
      <c r="A25" s="13" t="s">
        <v>495</v>
      </c>
      <c r="B25" s="14">
        <f>COUNTIF('Defectos'!$O$4:$O$17,"Cerrado")</f>
        <v>10</v>
      </c>
      <c r="F25" s="2" t="s">
        <v>12</v>
      </c>
    </row>
    <row r="26" spans="1:6" x14ac:dyDescent="0.25">
      <c r="A26" s="13" t="s">
        <v>496</v>
      </c>
      <c r="B26" s="14">
        <f>COUNTIF('Defectos'!$O$4:$O$17,"Abierto")</f>
        <v>0</v>
      </c>
      <c r="F26" s="2" t="s">
        <v>12</v>
      </c>
    </row>
    <row r="27" spans="1:6" x14ac:dyDescent="0.25">
      <c r="A27" s="13" t="s">
        <v>497</v>
      </c>
      <c r="B27" s="14">
        <f>COUNTIF('Defectos'!$O$4:$O$17,"Diferido")</f>
        <v>4</v>
      </c>
      <c r="F27" s="2" t="s">
        <v>12</v>
      </c>
    </row>
    <row r="29" spans="1:6" x14ac:dyDescent="0.25">
      <c r="A29" s="12" t="s">
        <v>498</v>
      </c>
      <c r="B29" s="12" t="s">
        <v>499</v>
      </c>
      <c r="C29" s="12" t="s">
        <v>500</v>
      </c>
      <c r="D29" s="12" t="s">
        <v>501</v>
      </c>
      <c r="E29" s="12" t="s">
        <v>12</v>
      </c>
      <c r="F29" s="12" t="s">
        <v>12</v>
      </c>
    </row>
    <row r="30" spans="1:6" x14ac:dyDescent="0.25">
      <c r="A30" s="13" t="s">
        <v>502</v>
      </c>
      <c r="B30" s="14">
        <v>93.38</v>
      </c>
      <c r="C30" s="14">
        <v>80</v>
      </c>
      <c r="D30" s="14" t="str">
        <f>IF(B30&gt;=C30,"Sí","No")</f>
        <v>Sí</v>
      </c>
      <c r="F30" s="2" t="s">
        <v>503</v>
      </c>
    </row>
    <row r="31" spans="1:6" x14ac:dyDescent="0.25">
      <c r="A31" s="13" t="s">
        <v>504</v>
      </c>
      <c r="B31" s="14">
        <v>96.29</v>
      </c>
      <c r="C31" s="14">
        <v>75</v>
      </c>
      <c r="D31" s="14" t="str">
        <f>IF(B31&gt;=C31,"Sí","No")</f>
        <v>Sí</v>
      </c>
      <c r="F31" s="2" t="s">
        <v>503</v>
      </c>
    </row>
    <row r="32" spans="1:6" x14ac:dyDescent="0.25">
      <c r="A32" s="13" t="s">
        <v>505</v>
      </c>
      <c r="B32" s="14">
        <v>95.23</v>
      </c>
      <c r="C32" s="14">
        <v>80</v>
      </c>
      <c r="D32" s="14" t="str">
        <f>IF(B32&gt;=C32,"Sí","No")</f>
        <v>Sí</v>
      </c>
      <c r="F32" s="2" t="s">
        <v>503</v>
      </c>
    </row>
    <row r="33" spans="1:6" x14ac:dyDescent="0.25">
      <c r="A33" s="13" t="s">
        <v>506</v>
      </c>
      <c r="B33" s="14">
        <v>93.38</v>
      </c>
      <c r="C33" s="14">
        <v>80</v>
      </c>
      <c r="D33" s="14" t="str">
        <f>IF(B33&gt;=C33,"Sí","No")</f>
        <v>Sí</v>
      </c>
      <c r="F33" s="2" t="s">
        <v>503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Leyenda</vt:lpstr>
      <vt:lpstr>Casos de Prueba</vt:lpstr>
      <vt:lpstr>Ejecución</vt:lpstr>
      <vt:lpstr>Defectos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04 - Calidad y Pruebas de Software</dc:creator>
  <dc:title/>
  <dc:subject/>
  <dc:description/>
  <cp:keywords/>
  <cp:category/>
  <cp:lastModifiedBy>Unknown</cp:lastModifiedBy>
  <dcterms:created xsi:type="dcterms:W3CDTF">2026-10-25T00:33:33Z</dcterms:created>
  <dcterms:modified xsi:type="dcterms:W3CDTF">2026-10-25T00:33:33Z</dcterms:modified>
</cp:coreProperties>
</file>